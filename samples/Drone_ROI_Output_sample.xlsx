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Detailed Calculations" sheetId="2" r:id="rId2"/>
    <sheet name="Audit Trail" sheetId="3" r:id="rId3"/>
    <sheet name="Sensitivity Analysis" sheetId="4" r:id="rId4"/>
    <sheet name="Charts" sheetId="5" r:id="rId5"/>
    <sheet name="Exceptions" sheetId="6" r:id="rId6"/>
    <sheet name="README" sheetId="7" r:id="rId7"/>
    <sheet name="Original Input" sheetId="8" r:id="rId8"/>
  </sheets>
</workbook>
</file>

<file path=xl/sharedStrings.xml><?xml version="1.0" encoding="utf-8"?>
<sst xmlns="http://schemas.openxmlformats.org/spreadsheetml/2006/main" count="607" uniqueCount="607">
  <si>
    <t>Customer</t>
  </si>
  <si>
    <t>Site</t>
  </si>
  <si>
    <t>Industry</t>
  </si>
  <si>
    <t>Region</t>
  </si>
  <si>
    <t>Notes</t>
  </si>
  <si>
    <t>Manual Cost (USD)</t>
  </si>
  <si>
    <t>Autonomous Cost (USD)</t>
  </si>
  <si>
    <t>Annual Saving (USD)</t>
  </si>
  <si>
    <t>Cost Ratio (current area)</t>
  </si>
  <si>
    <t>Cost Ratio (target area)</t>
  </si>
  <si>
    <t>Return %</t>
  </si>
  <si>
    <t>Payback Months</t>
  </si>
  <si>
    <t>Hours Multiple</t>
  </si>
  <si>
    <t>Docks Required</t>
  </si>
  <si>
    <t>Operators Required</t>
  </si>
  <si>
    <t>Status</t>
  </si>
  <si>
    <t>Recommendation</t>
  </si>
  <si>
    <t>Shell</t>
  </si>
  <si>
    <t>Refinery A</t>
  </si>
  <si>
    <t>Oil &amp; Gas</t>
  </si>
  <si>
    <t>Europe</t>
  </si>
  <si>
    <t>Baseline, matches the published acceptance figures</t>
  </si>
  <si>
    <t>calculated</t>
  </si>
  <si>
    <t>Strong case, proceed to scoped study</t>
  </si>
  <si>
    <t>BP</t>
  </si>
  <si>
    <t>Refinery B</t>
  </si>
  <si>
    <t>Expansion planned</t>
  </si>
  <si>
    <t>Chevron</t>
  </si>
  <si>
    <t>Pipeline North</t>
  </si>
  <si>
    <t>North America</t>
  </si>
  <si>
    <t>High utilization</t>
  </si>
  <si>
    <t>TotalEnergies</t>
  </si>
  <si>
    <t>Terminal C</t>
  </si>
  <si>
    <t>Energy</t>
  </si>
  <si>
    <t>Small deployment</t>
  </si>
  <si>
    <t>Aramco</t>
  </si>
  <si>
    <t>Processing Unit</t>
  </si>
  <si>
    <t>Middle East</t>
  </si>
  <si>
    <t>Mega facility</t>
  </si>
  <si>
    <t>Siemens Energy</t>
  </si>
  <si>
    <t>Wind Farm</t>
  </si>
  <si>
    <t>Renewable assets, target scaling is fractional (168.75)</t>
  </si>
  <si>
    <t>Tata Steel</t>
  </si>
  <si>
    <t>Plant 4</t>
  </si>
  <si>
    <t>Manufacturing</t>
  </si>
  <si>
    <t>India</t>
  </si>
  <si>
    <t>Steel inspection</t>
  </si>
  <si>
    <t>Reliance</t>
  </si>
  <si>
    <t>Jamnagar</t>
  </si>
  <si>
    <t>Refinery</t>
  </si>
  <si>
    <t>Largest refinery</t>
  </si>
  <si>
    <t>Adani Power</t>
  </si>
  <si>
    <t>Thermal Plant</t>
  </si>
  <si>
    <t>Power</t>
  </si>
  <si>
    <t>Row overrides substitution factor and operator ratio</t>
  </si>
  <si>
    <t>NTPC</t>
  </si>
  <si>
    <t>Super Thermal</t>
  </si>
  <si>
    <t>Long-term planning</t>
  </si>
  <si>
    <t>Ørsted</t>
  </si>
  <si>
    <t>Met Mast Alpha</t>
  </si>
  <si>
    <t>Negative saving at current area, labour case does not stand alone</t>
  </si>
  <si>
    <t>tier improves at target</t>
  </si>
  <si>
    <t>Labour case does not stand alone at these inputs</t>
  </si>
  <si>
    <t>Petrobras</t>
  </si>
  <si>
    <t>Terminal D</t>
  </si>
  <si>
    <t>South America</t>
  </si>
  <si>
    <t>Salary not supplied during discovery</t>
  </si>
  <si>
    <t>model incomplete</t>
  </si>
  <si>
    <t>Scenario</t>
  </si>
  <si>
    <t>Area priced</t>
  </si>
  <si>
    <t>Scale factor</t>
  </si>
  <si>
    <t>Docks per operator used</t>
  </si>
  <si>
    <t>Manual resources</t>
  </si>
  <si>
    <t>Manual hours</t>
  </si>
  <si>
    <t>Manual cost</t>
  </si>
  <si>
    <t>Hourly rate</t>
  </si>
  <si>
    <t>Hours per dock</t>
  </si>
  <si>
    <t>Docks before rounding</t>
  </si>
  <si>
    <t>Docks</t>
  </si>
  <si>
    <t>Operators before rounding</t>
  </si>
  <si>
    <t>Operators</t>
  </si>
  <si>
    <t>Autonomous cost</t>
  </si>
  <si>
    <t>Annual saving</t>
  </si>
  <si>
    <t>Cost ratio</t>
  </si>
  <si>
    <t>Payback months</t>
  </si>
  <si>
    <t>Hours multiple</t>
  </si>
  <si>
    <t>Current area</t>
  </si>
  <si>
    <t>current</t>
  </si>
  <si>
    <t>TARGET AREA, resources scaled linearly, operator ratio switched to at-scale</t>
  </si>
  <si>
    <t>Target area</t>
  </si>
  <si>
    <t>target</t>
  </si>
  <si>
    <t>Line</t>
  </si>
  <si>
    <t>Formula in plain English</t>
  </si>
  <si>
    <t>Working (current area)</t>
  </si>
  <si>
    <t>Current</t>
  </si>
  <si>
    <t>Working (target area)</t>
  </si>
  <si>
    <t>Target</t>
  </si>
  <si>
    <t>Area priced (sq ft)</t>
  </si>
  <si>
    <t>the area this scenario is priced at</t>
  </si>
  <si>
    <t>60,000 sq ft</t>
  </si>
  <si>
    <t>120,000 sq ft</t>
  </si>
  <si>
    <t>target area ÷ current area (1.0 at the current area by definition)</t>
  </si>
  <si>
    <t>1.0 by definition, this is the present state</t>
  </si>
  <si>
    <t>120,000 ÷ 60,000 = 2</t>
  </si>
  <si>
    <t>resources today, scaled by the scale factor at the target area</t>
  </si>
  <si>
    <t>100 as supplied by the customer</t>
  </si>
  <si>
    <t>100 × 2 = 200 (kept fractional, an extrapolation of the customer's headcount, not a purchase)</t>
  </si>
  <si>
    <t>Manual hours per year</t>
  </si>
  <si>
    <t>resources × shift hours per day × working days per year</t>
  </si>
  <si>
    <t>100 × 8 × 300 = 240,000</t>
  </si>
  <si>
    <t>200 × 8 × 300 = 480,000</t>
  </si>
  <si>
    <t>Manual cost per year</t>
  </si>
  <si>
    <t>resources × fully loaded cost per resource per year</t>
  </si>
  <si>
    <t>100 × 80,000 = 8,000,000</t>
  </si>
  <si>
    <t>200 × 80,000 = 16,000,000</t>
  </si>
  <si>
    <t>Effective hourly rate</t>
  </si>
  <si>
    <t>salary ÷ (shift hours per day × working days per year)</t>
  </si>
  <si>
    <t>80,000 ÷ (8 × 300) = 33.33</t>
  </si>
  <si>
    <t>Hours per dock per year</t>
  </si>
  <si>
    <t>dock operating hours per day × dock operating days per year</t>
  </si>
  <si>
    <t>24 × 365 = 8,760</t>
  </si>
  <si>
    <t>Docks required, before rounding</t>
  </si>
  <si>
    <t>manual hours ÷ (hours per dock × substitution factor)</t>
  </si>
  <si>
    <t>240,000 ÷ (8,760 × 1) = 27.4</t>
  </si>
  <si>
    <t>480,000 ÷ (8,760 × 1) = 54.79</t>
  </si>
  <si>
    <t>Docks required</t>
  </si>
  <si>
    <t>docks before rounding, rounded up, a dock is a purchase, so part of one is a whole one</t>
  </si>
  <si>
    <t>round up 27.4 = 28</t>
  </si>
  <si>
    <t>round up 54.79 = 55</t>
  </si>
  <si>
    <t>Operators required, before rounding</t>
  </si>
  <si>
    <t>whole docks ÷ docks per operator (never the fractional dock count)</t>
  </si>
  <si>
    <t>28 ÷ 4 = 7</t>
  </si>
  <si>
    <t>55 ÷ 6 = 9.1667</t>
  </si>
  <si>
    <t>Operators required</t>
  </si>
  <si>
    <t>operators before rounding, rounded up, an operator is a hire</t>
  </si>
  <si>
    <t>round up 7 = 7</t>
  </si>
  <si>
    <t>round up 9.1667 = 10</t>
  </si>
  <si>
    <t>Autonomous cost per year</t>
  </si>
  <si>
    <t>docks × cost per dock per year + operators × cost per operator per year</t>
  </si>
  <si>
    <t>28 × 45,000 + 7 × 80,000 = 1,820,000</t>
  </si>
  <si>
    <t>55 × 45,000 + 10 × 80,000 = 3,275,000</t>
  </si>
  <si>
    <t>manual cost − autonomous cost</t>
  </si>
  <si>
    <t>8,000,000 − 1,820,000 = 6,180,000</t>
  </si>
  <si>
    <t>16,000,000 − 3,275,000 = 12,725,000</t>
  </si>
  <si>
    <t>autonomous cost ÷ manual cost</t>
  </si>
  <si>
    <t>1,820,000 ÷ 8,000,000 = 0.2275</t>
  </si>
  <si>
    <t>3,275,000 ÷ 16,000,000 = 0.2047</t>
  </si>
  <si>
    <t>Return on autonomous spend</t>
  </si>
  <si>
    <t>annual saving ÷ autonomous cost</t>
  </si>
  <si>
    <t>6,180,000 ÷ 1,820,000 = 3.3956</t>
  </si>
  <si>
    <t>12,725,000 ÷ 3,275,000 = 3.8855</t>
  </si>
  <si>
    <t>Payback</t>
  </si>
  <si>
    <t>one-time implementation cost ÷ (annual saving ÷ 12)</t>
  </si>
  <si>
    <t>250,000 ÷ (6,180,000 ÷ 12) = 0.4854</t>
  </si>
  <si>
    <t>250,000 ÷ (12,725,000 ÷ 12) = 0.2358</t>
  </si>
  <si>
    <t>hours per dock per year ÷ (shift hours per day × working days per year)</t>
  </si>
  <si>
    <t>8,760 ÷ (8 × 300) = 3.65</t>
  </si>
  <si>
    <t>Manual cost per sq ft</t>
  </si>
  <si>
    <t>manual cost ÷ area priced, a display metric, not a driver of the model</t>
  </si>
  <si>
    <t>8,000,000 ÷ 60,000 = 133.33</t>
  </si>
  <si>
    <t>16,000,000 ÷ 120,000 = 133.33</t>
  </si>
  <si>
    <t>Autonomous cost per sq ft</t>
  </si>
  <si>
    <t>autonomous cost ÷ area priced, a display metric, not a driver of the model</t>
  </si>
  <si>
    <t>1,820,000 ÷ 60,000 = 30.33</t>
  </si>
  <si>
    <t>3,275,000 ÷ 120,000 = 27.29</t>
  </si>
  <si>
    <t>Annual saving per sq ft</t>
  </si>
  <si>
    <t>annual saving ÷ area priced, a display metric, not a driver of the model</t>
  </si>
  <si>
    <t>6,180,000 ÷ 60,000 = 103</t>
  </si>
  <si>
    <t>12,725,000 ÷ 120,000 = 106.04</t>
  </si>
  <si>
    <t xml:space="preserve">, parameter sources, </t>
  </si>
  <si>
    <t>dockHours</t>
  </si>
  <si>
    <t>resolved from: built-in default</t>
  </si>
  <si>
    <t>24</t>
  </si>
  <si>
    <t>dockDays</t>
  </si>
  <si>
    <t>365</t>
  </si>
  <si>
    <t>subFactor</t>
  </si>
  <si>
    <t>1</t>
  </si>
  <si>
    <t>dockCost</t>
  </si>
  <si>
    <t>resolved from: Parameters sheet</t>
  </si>
  <si>
    <t>45000</t>
  </si>
  <si>
    <t>opCost</t>
  </si>
  <si>
    <t>80000</t>
  </si>
  <si>
    <t>ratioNow</t>
  </si>
  <si>
    <t>4</t>
  </si>
  <si>
    <t>ratioScale</t>
  </si>
  <si>
    <t>6</t>
  </si>
  <si>
    <t>implCost</t>
  </si>
  <si>
    <t>250000</t>
  </si>
  <si>
    <t>currency</t>
  </si>
  <si>
    <t>USD</t>
  </si>
  <si>
    <t>90,000 sq ft</t>
  </si>
  <si>
    <t>180,000 sq ft</t>
  </si>
  <si>
    <t>180,000 ÷ 90,000 = 2</t>
  </si>
  <si>
    <t>140 as supplied by the customer</t>
  </si>
  <si>
    <t>140 × 2 = 280 (kept fractional, an extrapolation of the customer's headcount, not a purchase)</t>
  </si>
  <si>
    <t>140 × 8 × 300 = 336,000</t>
  </si>
  <si>
    <t>280 × 8 × 300 = 672,000</t>
  </si>
  <si>
    <t>140 × 85,000 = 11,900,000</t>
  </si>
  <si>
    <t>280 × 85,000 = 23,800,000</t>
  </si>
  <si>
    <t>85,000 ÷ (8 × 300) = 35.42</t>
  </si>
  <si>
    <t>336,000 ÷ (8,760 × 1) = 38.36</t>
  </si>
  <si>
    <t>672,000 ÷ (8,760 × 1) = 76.71</t>
  </si>
  <si>
    <t>round up 38.36 = 39</t>
  </si>
  <si>
    <t>round up 76.71 = 77</t>
  </si>
  <si>
    <t>39 ÷ 4 = 9.75</t>
  </si>
  <si>
    <t>77 ÷ 6 = 12.83</t>
  </si>
  <si>
    <t>round up 9.75 = 10</t>
  </si>
  <si>
    <t>round up 12.83 = 13</t>
  </si>
  <si>
    <t>39 × 45,000 + 10 × 80,000 = 2,555,000</t>
  </si>
  <si>
    <t>77 × 45,000 + 13 × 80,000 = 4,505,000</t>
  </si>
  <si>
    <t>11,900,000 − 2,555,000 = 9,345,000</t>
  </si>
  <si>
    <t>23,800,000 − 4,505,000 = 19,295,000</t>
  </si>
  <si>
    <t>2,555,000 ÷ 11,900,000 = 0.2147</t>
  </si>
  <si>
    <t>4,505,000 ÷ 23,800,000 = 0.1893</t>
  </si>
  <si>
    <t>9,345,000 ÷ 2,555,000 = 3.6575</t>
  </si>
  <si>
    <t>19,295,000 ÷ 4,505,000 = 4.283</t>
  </si>
  <si>
    <t>250,000 ÷ (9,345,000 ÷ 12) = 0.321</t>
  </si>
  <si>
    <t>250,000 ÷ (19,295,000 ÷ 12) = 0.1555</t>
  </si>
  <si>
    <t>11,900,000 ÷ 90,000 = 132.22</t>
  </si>
  <si>
    <t>23,800,000 ÷ 180,000 = 132.22</t>
  </si>
  <si>
    <t>2,555,000 ÷ 90,000 = 28.39</t>
  </si>
  <si>
    <t>4,505,000 ÷ 180,000 = 25.03</t>
  </si>
  <si>
    <t>9,345,000 ÷ 90,000 = 103.83</t>
  </si>
  <si>
    <t>19,295,000 ÷ 180,000 = 107.19</t>
  </si>
  <si>
    <t>125,000 sq ft</t>
  </si>
  <si>
    <t>250,000 sq ft</t>
  </si>
  <si>
    <t>250,000 ÷ 125,000 = 2</t>
  </si>
  <si>
    <t>180 as supplied by the customer</t>
  </si>
  <si>
    <t>180 × 2 = 360 (kept fractional, an extrapolation of the customer's headcount, not a purchase)</t>
  </si>
  <si>
    <t>180 × 10 × 320 = 576,000</t>
  </si>
  <si>
    <t>360 × 10 × 320 = 1,152,000</t>
  </si>
  <si>
    <t>180 × 90,000 = 16,200,000</t>
  </si>
  <si>
    <t>360 × 90,000 = 32,400,000</t>
  </si>
  <si>
    <t>90,000 ÷ (10 × 320) = 28.13</t>
  </si>
  <si>
    <t>576,000 ÷ (8,760 × 1) = 65.75</t>
  </si>
  <si>
    <t>1,152,000 ÷ (8,760 × 1) = 131.51</t>
  </si>
  <si>
    <t>round up 65.75 = 66</t>
  </si>
  <si>
    <t>round up 131.51 = 132</t>
  </si>
  <si>
    <t>66 ÷ 4 = 16.5</t>
  </si>
  <si>
    <t>132 ÷ 6 = 22</t>
  </si>
  <si>
    <t>round up 16.5 = 17</t>
  </si>
  <si>
    <t>round up 22 = 22</t>
  </si>
  <si>
    <t>66 × 45,000 + 17 × 80,000 = 4,330,000</t>
  </si>
  <si>
    <t>132 × 45,000 + 22 × 80,000 = 7,700,000</t>
  </si>
  <si>
    <t>16,200,000 − 4,330,000 = 11,870,000</t>
  </si>
  <si>
    <t>32,400,000 − 7,700,000 = 24,700,000</t>
  </si>
  <si>
    <t>4,330,000 ÷ 16,200,000 = 0.2673</t>
  </si>
  <si>
    <t>7,700,000 ÷ 32,400,000 = 0.2377</t>
  </si>
  <si>
    <t>11,870,000 ÷ 4,330,000 = 2.7413</t>
  </si>
  <si>
    <t>24,700,000 ÷ 7,700,000 = 3.2078</t>
  </si>
  <si>
    <t>250,000 ÷ (11,870,000 ÷ 12) = 0.2527</t>
  </si>
  <si>
    <t>250,000 ÷ (24,700,000 ÷ 12) = 0.1215</t>
  </si>
  <si>
    <t>8,760 ÷ (10 × 320) = 2.7375</t>
  </si>
  <si>
    <t>16,200,000 ÷ 125,000 = 129.6</t>
  </si>
  <si>
    <t>32,400,000 ÷ 250,000 = 129.6</t>
  </si>
  <si>
    <t>4,330,000 ÷ 125,000 = 34.64</t>
  </si>
  <si>
    <t>7,700,000 ÷ 250,000 = 30.8</t>
  </si>
  <si>
    <t>11,870,000 ÷ 125,000 = 94.96</t>
  </si>
  <si>
    <t>24,700,000 ÷ 250,000 = 98.8</t>
  </si>
  <si>
    <t>45,000 sq ft</t>
  </si>
  <si>
    <t>90,000 ÷ 45,000 = 2</t>
  </si>
  <si>
    <t>60 as supplied by the customer</t>
  </si>
  <si>
    <t>60 × 2 = 120 (kept fractional, an extrapolation of the customer's headcount, not a purchase)</t>
  </si>
  <si>
    <t>60 × 8 × 300 = 144,000</t>
  </si>
  <si>
    <t>120 × 8 × 300 = 288,000</t>
  </si>
  <si>
    <t>60 × 70,000 = 4,200,000</t>
  </si>
  <si>
    <t>120 × 70,000 = 8,400,000</t>
  </si>
  <si>
    <t>70,000 ÷ (8 × 300) = 29.17</t>
  </si>
  <si>
    <t>144,000 ÷ (8,760 × 1) = 16.44</t>
  </si>
  <si>
    <t>288,000 ÷ (8,760 × 1) = 32.88</t>
  </si>
  <si>
    <t>round up 16.44 = 17</t>
  </si>
  <si>
    <t>round up 32.88 = 33</t>
  </si>
  <si>
    <t>17 ÷ 4 = 4.25</t>
  </si>
  <si>
    <t>33 ÷ 6 = 5.5</t>
  </si>
  <si>
    <t>round up 4.25 = 5</t>
  </si>
  <si>
    <t>round up 5.5 = 6</t>
  </si>
  <si>
    <t>17 × 45,000 + 5 × 80,000 = 1,165,000</t>
  </si>
  <si>
    <t>33 × 45,000 + 6 × 80,000 = 1,965,000</t>
  </si>
  <si>
    <t>4,200,000 − 1,165,000 = 3,035,000</t>
  </si>
  <si>
    <t>8,400,000 − 1,965,000 = 6,435,000</t>
  </si>
  <si>
    <t>1,165,000 ÷ 4,200,000 = 0.2774</t>
  </si>
  <si>
    <t>1,965,000 ÷ 8,400,000 = 0.2339</t>
  </si>
  <si>
    <t>3,035,000 ÷ 1,165,000 = 2.6052</t>
  </si>
  <si>
    <t>6,435,000 ÷ 1,965,000 = 3.2748</t>
  </si>
  <si>
    <t>250,000 ÷ (3,035,000 ÷ 12) = 0.9885</t>
  </si>
  <si>
    <t>250,000 ÷ (6,435,000 ÷ 12) = 0.4662</t>
  </si>
  <si>
    <t>4,200,000 ÷ 45,000 = 93.33</t>
  </si>
  <si>
    <t>8,400,000 ÷ 90,000 = 93.33</t>
  </si>
  <si>
    <t>1,165,000 ÷ 45,000 = 25.89</t>
  </si>
  <si>
    <t>1,965,000 ÷ 90,000 = 21.83</t>
  </si>
  <si>
    <t>3,035,000 ÷ 45,000 = 67.44</t>
  </si>
  <si>
    <t>6,435,000 ÷ 90,000 = 71.5</t>
  </si>
  <si>
    <t>220,000 sq ft</t>
  </si>
  <si>
    <t>450,000 sq ft</t>
  </si>
  <si>
    <t>450,000 ÷ 220,000 = 2.0455</t>
  </si>
  <si>
    <t>320 as supplied by the customer</t>
  </si>
  <si>
    <t>320 × 2.0455 = 654.55 (kept fractional, an extrapolation of the customer's headcount, not a purchase)</t>
  </si>
  <si>
    <t>320 × 12 × 330 = 1,267,200</t>
  </si>
  <si>
    <t>654.55 × 12 × 330 = 2,592,000</t>
  </si>
  <si>
    <t>320 × 95,000 = 30,400,000</t>
  </si>
  <si>
    <t>654.55 × 95,000 = 62,181,818.18</t>
  </si>
  <si>
    <t>95,000 ÷ (12 × 330) = 23.99</t>
  </si>
  <si>
    <t>1,267,200 ÷ (8,760 × 1) = 144.66</t>
  </si>
  <si>
    <t>2,592,000 ÷ (8,760 × 1) = 295.89</t>
  </si>
  <si>
    <t>round up 144.66 = 145</t>
  </si>
  <si>
    <t>round up 295.89 = 296</t>
  </si>
  <si>
    <t>145 ÷ 4 = 36.25</t>
  </si>
  <si>
    <t>296 ÷ 6 = 49.33</t>
  </si>
  <si>
    <t>round up 36.25 = 37</t>
  </si>
  <si>
    <t>round up 49.33 = 50</t>
  </si>
  <si>
    <t>145 × 45,000 + 37 × 80,000 = 9,485,000</t>
  </si>
  <si>
    <t>296 × 45,000 + 50 × 80,000 = 17,320,000</t>
  </si>
  <si>
    <t>30,400,000 − 9,485,000 = 20,915,000</t>
  </si>
  <si>
    <t>62,181,818.18 − 17,320,000 = 44,861,818.18</t>
  </si>
  <si>
    <t>9,485,000 ÷ 30,400,000 = 0.312</t>
  </si>
  <si>
    <t>17,320,000 ÷ 62,181,818.18 = 0.2785</t>
  </si>
  <si>
    <t>20,915,000 ÷ 9,485,000 = 2.2051</t>
  </si>
  <si>
    <t>44,861,818.18 ÷ 17,320,000 = 2.5902</t>
  </si>
  <si>
    <t>250,000 ÷ (20,915,000 ÷ 12) = 0.1434</t>
  </si>
  <si>
    <t>250,000 ÷ (44,861,818.18 ÷ 12) = 0.0669</t>
  </si>
  <si>
    <t>8,760 ÷ (12 × 330) = 2.2121</t>
  </si>
  <si>
    <t>30,400,000 ÷ 220,000 = 138.18</t>
  </si>
  <si>
    <t>62,181,818.18 ÷ 450,000 = 138.18</t>
  </si>
  <si>
    <t>9,485,000 ÷ 220,000 = 43.11</t>
  </si>
  <si>
    <t>17,320,000 ÷ 450,000 = 38.49</t>
  </si>
  <si>
    <t>20,915,000 ÷ 220,000 = 95.07</t>
  </si>
  <si>
    <t>44,861,818.18 ÷ 450,000 = 99.69</t>
  </si>
  <si>
    <t>80,000 sq ft</t>
  </si>
  <si>
    <t>150,000 sq ft</t>
  </si>
  <si>
    <t>150,000 ÷ 80,000 = 1.875</t>
  </si>
  <si>
    <t>90 as supplied by the customer</t>
  </si>
  <si>
    <t>90 × 1.875 = 168.75 (kept fractional, an extrapolation of the customer's headcount, not a purchase)</t>
  </si>
  <si>
    <t>90 × 8 × 310 = 223,200</t>
  </si>
  <si>
    <t>168.75 × 8 × 310 = 418,500</t>
  </si>
  <si>
    <t>90 × 82,000 = 7,380,000</t>
  </si>
  <si>
    <t>168.75 × 82,000 = 13,837,500</t>
  </si>
  <si>
    <t>82,000 ÷ (8 × 310) = 33.06</t>
  </si>
  <si>
    <t>223,200 ÷ (8,760 × 1) = 25.48</t>
  </si>
  <si>
    <t>418,500 ÷ (8,760 × 1) = 47.77</t>
  </si>
  <si>
    <t>round up 25.48 = 26</t>
  </si>
  <si>
    <t>round up 47.77 = 48</t>
  </si>
  <si>
    <t>26 ÷ 4 = 6.5</t>
  </si>
  <si>
    <t>48 ÷ 6 = 8</t>
  </si>
  <si>
    <t>round up 6.5 = 7</t>
  </si>
  <si>
    <t>round up 8 = 8</t>
  </si>
  <si>
    <t>26 × 45,000 + 7 × 80,000 = 1,730,000</t>
  </si>
  <si>
    <t>48 × 45,000 + 8 × 80,000 = 2,800,000</t>
  </si>
  <si>
    <t>7,380,000 − 1,730,000 = 5,650,000</t>
  </si>
  <si>
    <t>13,837,500 − 2,800,000 = 11,037,500</t>
  </si>
  <si>
    <t>1,730,000 ÷ 7,380,000 = 0.2344</t>
  </si>
  <si>
    <t>2,800,000 ÷ 13,837,500 = 0.2023</t>
  </si>
  <si>
    <t>5,650,000 ÷ 1,730,000 = 3.2659</t>
  </si>
  <si>
    <t>11,037,500 ÷ 2,800,000 = 3.942</t>
  </si>
  <si>
    <t>250,000 ÷ (5,650,000 ÷ 12) = 0.531</t>
  </si>
  <si>
    <t>250,000 ÷ (11,037,500 ÷ 12) = 0.2718</t>
  </si>
  <si>
    <t>8,760 ÷ (8 × 310) = 3.5323</t>
  </si>
  <si>
    <t>7,380,000 ÷ 80,000 = 92.25</t>
  </si>
  <si>
    <t>13,837,500 ÷ 150,000 = 92.25</t>
  </si>
  <si>
    <t>1,730,000 ÷ 80,000 = 21.63</t>
  </si>
  <si>
    <t>2,800,000 ÷ 150,000 = 18.67</t>
  </si>
  <si>
    <t>5,650,000 ÷ 80,000 = 70.63</t>
  </si>
  <si>
    <t>11,037,500 ÷ 150,000 = 73.58</t>
  </si>
  <si>
    <t>70,000 sq ft</t>
  </si>
  <si>
    <t>140,000 sq ft</t>
  </si>
  <si>
    <t>140,000 ÷ 70,000 = 2</t>
  </si>
  <si>
    <t>85 as supplied by the customer</t>
  </si>
  <si>
    <t>85 × 2 = 170 (kept fractional, an extrapolation of the customer's headcount, not a purchase)</t>
  </si>
  <si>
    <t>85 × 8 × 300 = 204,000</t>
  </si>
  <si>
    <t>170 × 8 × 300 = 408,000</t>
  </si>
  <si>
    <t>85 × 65,000 = 5,525,000</t>
  </si>
  <si>
    <t>170 × 65,000 = 11,050,000</t>
  </si>
  <si>
    <t>65,000 ÷ (8 × 300) = 27.08</t>
  </si>
  <si>
    <t>204,000 ÷ (8,760 × 1) = 23.29</t>
  </si>
  <si>
    <t>408,000 ÷ (8,760 × 1) = 46.58</t>
  </si>
  <si>
    <t>round up 23.29 = 24</t>
  </si>
  <si>
    <t>round up 46.58 = 47</t>
  </si>
  <si>
    <t>24 ÷ 4 = 6</t>
  </si>
  <si>
    <t>47 ÷ 6 = 7.8333</t>
  </si>
  <si>
    <t>round up 6 = 6</t>
  </si>
  <si>
    <t>round up 7.8333 = 8</t>
  </si>
  <si>
    <t>24 × 45,000 + 6 × 80,000 = 1,560,000</t>
  </si>
  <si>
    <t>47 × 45,000 + 8 × 80,000 = 2,755,000</t>
  </si>
  <si>
    <t>5,525,000 − 1,560,000 = 3,965,000</t>
  </si>
  <si>
    <t>11,050,000 − 2,755,000 = 8,295,000</t>
  </si>
  <si>
    <t>1,560,000 ÷ 5,525,000 = 0.2824</t>
  </si>
  <si>
    <t>2,755,000 ÷ 11,050,000 = 0.2493</t>
  </si>
  <si>
    <t>3,965,000 ÷ 1,560,000 = 2.5417</t>
  </si>
  <si>
    <t>8,295,000 ÷ 2,755,000 = 3.0109</t>
  </si>
  <si>
    <t>250,000 ÷ (3,965,000 ÷ 12) = 0.7566</t>
  </si>
  <si>
    <t>250,000 ÷ (8,295,000 ÷ 12) = 0.3617</t>
  </si>
  <si>
    <t>5,525,000 ÷ 70,000 = 78.93</t>
  </si>
  <si>
    <t>11,050,000 ÷ 140,000 = 78.93</t>
  </si>
  <si>
    <t>1,560,000 ÷ 70,000 = 22.29</t>
  </si>
  <si>
    <t>2,755,000 ÷ 140,000 = 19.68</t>
  </si>
  <si>
    <t>3,965,000 ÷ 70,000 = 56.64</t>
  </si>
  <si>
    <t>8,295,000 ÷ 140,000 = 59.25</t>
  </si>
  <si>
    <t>350,000 sq ft</t>
  </si>
  <si>
    <t>350,000 ÷ 180,000 = 1.9444</t>
  </si>
  <si>
    <t>260 as supplied by the customer</t>
  </si>
  <si>
    <t>260 × 1.9444 = 505.56 (kept fractional, an extrapolation of the customer's headcount, not a purchase)</t>
  </si>
  <si>
    <t>260 × 12 × 330 = 1,029,600</t>
  </si>
  <si>
    <t>505.56 × 12 × 330 = 2,002,000</t>
  </si>
  <si>
    <t>260 × 90,000 = 23,400,000</t>
  </si>
  <si>
    <t>505.56 × 90,000 = 45,500,000</t>
  </si>
  <si>
    <t>90,000 ÷ (12 × 330) = 22.73</t>
  </si>
  <si>
    <t>1,029,600 ÷ (8,760 × 1) = 117.53</t>
  </si>
  <si>
    <t>2,002,000 ÷ (8,760 × 1) = 228.54</t>
  </si>
  <si>
    <t>round up 117.53 = 118</t>
  </si>
  <si>
    <t>round up 228.54 = 229</t>
  </si>
  <si>
    <t>118 ÷ 4 = 29.5</t>
  </si>
  <si>
    <t>229 ÷ 6 = 38.17</t>
  </si>
  <si>
    <t>round up 29.5 = 30</t>
  </si>
  <si>
    <t>round up 38.17 = 39</t>
  </si>
  <si>
    <t>118 × 45,000 + 30 × 80,000 = 7,710,000</t>
  </si>
  <si>
    <t>229 × 45,000 + 39 × 80,000 = 13,425,000</t>
  </si>
  <si>
    <t>23,400,000 − 7,710,000 = 15,690,000</t>
  </si>
  <si>
    <t>45,500,000 − 13,425,000 = 32,075,000</t>
  </si>
  <si>
    <t>7,710,000 ÷ 23,400,000 = 0.3295</t>
  </si>
  <si>
    <t>13,425,000 ÷ 45,500,000 = 0.2951</t>
  </si>
  <si>
    <t>15,690,000 ÷ 7,710,000 = 2.035</t>
  </si>
  <si>
    <t>32,075,000 ÷ 13,425,000 = 2.3892</t>
  </si>
  <si>
    <t>250,000 ÷ (15,690,000 ÷ 12) = 0.1912</t>
  </si>
  <si>
    <t>250,000 ÷ (32,075,000 ÷ 12) = 0.0935</t>
  </si>
  <si>
    <t>23,400,000 ÷ 180,000 = 130</t>
  </si>
  <si>
    <t>45,500,000 ÷ 350,000 = 130</t>
  </si>
  <si>
    <t>7,710,000 ÷ 180,000 = 42.83</t>
  </si>
  <si>
    <t>13,425,000 ÷ 350,000 = 38.36</t>
  </si>
  <si>
    <t>15,690,000 ÷ 180,000 = 87.17</t>
  </si>
  <si>
    <t>32,075,000 ÷ 350,000 = 91.64</t>
  </si>
  <si>
    <t>95,000 sq ft</t>
  </si>
  <si>
    <t>180,000 ÷ 95,000 = 1.8947</t>
  </si>
  <si>
    <t>130 as supplied by the customer</t>
  </si>
  <si>
    <t>130 × 1.8947 = 246.32 (kept fractional, an extrapolation of the customer's headcount, not a purchase)</t>
  </si>
  <si>
    <t>130 × 8 × 300 = 312,000</t>
  </si>
  <si>
    <t>246.32 × 8 × 300 = 591,157.89</t>
  </si>
  <si>
    <t>130 × 76,000 = 9,880,000</t>
  </si>
  <si>
    <t>246.32 × 76,000 = 18,720,000</t>
  </si>
  <si>
    <t>76,000 ÷ (8 × 300) = 31.67</t>
  </si>
  <si>
    <t>312,000 ÷ (8,760 × 1.3) = 27.4</t>
  </si>
  <si>
    <t>591,157.89 ÷ (8,760 × 1.3) = 51.91</t>
  </si>
  <si>
    <t>round up 51.91 = 52</t>
  </si>
  <si>
    <t>28 ÷ 5.5 = 5.0909</t>
  </si>
  <si>
    <t>52 ÷ 6 = 8.6667</t>
  </si>
  <si>
    <t>round up 5.0909 = 6</t>
  </si>
  <si>
    <t>round up 8.6667 = 9</t>
  </si>
  <si>
    <t>28 × 45,000 + 6 × 80,000 = 1,740,000</t>
  </si>
  <si>
    <t>52 × 45,000 + 9 × 80,000 = 3,060,000</t>
  </si>
  <si>
    <t>9,880,000 − 1,740,000 = 8,140,000</t>
  </si>
  <si>
    <t>18,720,000 − 3,060,000 = 15,660,000</t>
  </si>
  <si>
    <t>1,740,000 ÷ 9,880,000 = 0.1761</t>
  </si>
  <si>
    <t>3,060,000 ÷ 18,720,000 = 0.1635</t>
  </si>
  <si>
    <t>8,140,000 ÷ 1,740,000 = 4.6782</t>
  </si>
  <si>
    <t>15,660,000 ÷ 3,060,000 = 5.1176</t>
  </si>
  <si>
    <t>250,000 ÷ (8,140,000 ÷ 12) = 0.3686</t>
  </si>
  <si>
    <t>250,000 ÷ (15,660,000 ÷ 12) = 0.1916</t>
  </si>
  <si>
    <t>9,880,000 ÷ 95,000 = 104</t>
  </si>
  <si>
    <t>18,720,000 ÷ 180,000 = 104</t>
  </si>
  <si>
    <t>1,740,000 ÷ 95,000 = 18.32</t>
  </si>
  <si>
    <t>3,060,000 ÷ 180,000 = 17</t>
  </si>
  <si>
    <t>8,140,000 ÷ 95,000 = 85.68</t>
  </si>
  <si>
    <t>15,660,000 ÷ 180,000 = 87</t>
  </si>
  <si>
    <t>resolved from: row override</t>
  </si>
  <si>
    <t>1.3</t>
  </si>
  <si>
    <t>5.5</t>
  </si>
  <si>
    <t>300,000 sq ft</t>
  </si>
  <si>
    <t>300,000 ÷ 150,000 = 2</t>
  </si>
  <si>
    <t>220 as supplied by the customer</t>
  </si>
  <si>
    <t>220 × 2 = 440 (kept fractional, an extrapolation of the customer's headcount, not a purchase)</t>
  </si>
  <si>
    <t>220 × 10 × 320 = 704,000</t>
  </si>
  <si>
    <t>440 × 10 × 320 = 1,408,000</t>
  </si>
  <si>
    <t>220 × 78,000 = 17,160,000</t>
  </si>
  <si>
    <t>440 × 78,000 = 34,320,000</t>
  </si>
  <si>
    <t>78,000 ÷ (10 × 320) = 24.38</t>
  </si>
  <si>
    <t>704,000 ÷ (8,760 × 1) = 80.37</t>
  </si>
  <si>
    <t>1,408,000 ÷ (8,760 × 1) = 160.73</t>
  </si>
  <si>
    <t>round up 80.37 = 81</t>
  </si>
  <si>
    <t>round up 160.73 = 161</t>
  </si>
  <si>
    <t>81 ÷ 4 = 20.25</t>
  </si>
  <si>
    <t>161 ÷ 6 = 26.83</t>
  </si>
  <si>
    <t>round up 20.25 = 21</t>
  </si>
  <si>
    <t>round up 26.83 = 27</t>
  </si>
  <si>
    <t>81 × 45,000 + 21 × 80,000 = 5,325,000</t>
  </si>
  <si>
    <t>161 × 45,000 + 27 × 80,000 = 9,405,000</t>
  </si>
  <si>
    <t>17,160,000 − 5,325,000 = 11,835,000</t>
  </si>
  <si>
    <t>34,320,000 − 9,405,000 = 24,915,000</t>
  </si>
  <si>
    <t>5,325,000 ÷ 17,160,000 = 0.3103</t>
  </si>
  <si>
    <t>9,405,000 ÷ 34,320,000 = 0.274</t>
  </si>
  <si>
    <t>11,835,000 ÷ 5,325,000 = 2.2225</t>
  </si>
  <si>
    <t>24,915,000 ÷ 9,405,000 = 2.6491</t>
  </si>
  <si>
    <t>250,000 ÷ (11,835,000 ÷ 12) = 0.2535</t>
  </si>
  <si>
    <t>250,000 ÷ (24,915,000 ÷ 12) = 0.1204</t>
  </si>
  <si>
    <t>17,160,000 ÷ 150,000 = 114.4</t>
  </si>
  <si>
    <t>34,320,000 ÷ 300,000 = 114.4</t>
  </si>
  <si>
    <t>5,325,000 ÷ 150,000 = 35.5</t>
  </si>
  <si>
    <t>9,405,000 ÷ 300,000 = 31.35</t>
  </si>
  <si>
    <t>11,835,000 ÷ 150,000 = 78.9</t>
  </si>
  <si>
    <t>24,915,000 ÷ 300,000 = 83.05</t>
  </si>
  <si>
    <t>4,000 sq ft</t>
  </si>
  <si>
    <t>6,000 sq ft</t>
  </si>
  <si>
    <t>6,000 ÷ 4,000 = 1.5</t>
  </si>
  <si>
    <t>2 as supplied by the customer</t>
  </si>
  <si>
    <t>2 × 1.5 = 3 (kept fractional, an extrapolation of the customer's headcount, not a purchase)</t>
  </si>
  <si>
    <t>2 × 8 × 260 = 4,160</t>
  </si>
  <si>
    <t>3 × 8 × 260 = 6,240</t>
  </si>
  <si>
    <t>2 × 45,000 = 90,000</t>
  </si>
  <si>
    <t>3 × 45,000 = 135,000</t>
  </si>
  <si>
    <t>45,000 ÷ (8 × 260) = 21.63</t>
  </si>
  <si>
    <t>4,160 ÷ (8,760 × 1) = 0.4749</t>
  </si>
  <si>
    <t>6,240 ÷ (8,760 × 1) = 0.7123</t>
  </si>
  <si>
    <t>round up 0.4749 = 1</t>
  </si>
  <si>
    <t>round up 0.7123 = 1</t>
  </si>
  <si>
    <t>1 ÷ 4 = 0.25</t>
  </si>
  <si>
    <t>1 ÷ 6 = 0.1667</t>
  </si>
  <si>
    <t>round up 0.25 = 1</t>
  </si>
  <si>
    <t>round up 0.1667 = 1</t>
  </si>
  <si>
    <t>1 × 45,000 + 1 × 80,000 = 125,000</t>
  </si>
  <si>
    <t>90,000 − 125,000 = -35,000</t>
  </si>
  <si>
    <t>135,000 − 125,000 = 10,000</t>
  </si>
  <si>
    <t>125,000 ÷ 90,000 = 1.3889</t>
  </si>
  <si>
    <t>125,000 ÷ 135,000 = 0.9259</t>
  </si>
  <si>
    <t>-35,000 ÷ 125,000 = -0.28</t>
  </si>
  <si>
    <t>10,000 ÷ 125,000 = 0.08</t>
  </si>
  <si>
    <t>no payback at these inputs, the model does not save money here</t>
  </si>
  <si>
    <t>250,000 ÷ (10,000 ÷ 12) = 300</t>
  </si>
  <si>
    <t>8,760 ÷ (8 × 260) = 4.2115</t>
  </si>
  <si>
    <t>90,000 ÷ 4,000 = 22.5</t>
  </si>
  <si>
    <t>135,000 ÷ 6,000 = 22.5</t>
  </si>
  <si>
    <t>125,000 ÷ 4,000 = 31.25</t>
  </si>
  <si>
    <t>125,000 ÷ 6,000 = 20.83</t>
  </si>
  <si>
    <t>-35,000 ÷ 4,000 = -8.75</t>
  </si>
  <si>
    <t>10,000 ÷ 6,000 = 1.6667</t>
  </si>
  <si>
    <t>Salary per Resource is missing</t>
  </si>
  <si>
    <t>Docks per operator</t>
  </si>
  <si>
    <t>Charts</t>
  </si>
  <si>
    <t>Every series below is bound to a cell range on the Executive Summary sheet.</t>
  </si>
  <si>
    <t>Edit a figure there and these charts move with it, they are not pictures.</t>
  </si>
  <si>
    <t>Kind</t>
  </si>
  <si>
    <t>Field</t>
  </si>
  <si>
    <t>Reason</t>
  </si>
  <si>
    <t>invalid</t>
  </si>
  <si>
    <t>salary</t>
  </si>
  <si>
    <t>AUTONOMOUS INSPECTION ROI, MODEL OUTPUT</t>
  </si>
  <si>
    <t>Generated by the Drone ROI engine. Every figure derives from the model below.</t>
  </si>
  <si>
    <t>WHAT EACH SHEET CONTAINS</t>
  </si>
  <si>
    <t>Executive Summary, one row per site. Original input columns first, in their original order, then the calculated columns. Rows that could not be priced show blank figures and a status of "model incomplete".</t>
  </si>
  <si>
    <t>Detailed Calculations, every intermediate value, for the current area and again for the target area. The target block is separated by a header band.</t>
  </si>
  <si>
    <t>Audit Trail, each formula in plain English with its inputs and computed value, per site, plus the resolved source of every autonomous parameter.</t>
  </si>
  <si>
    <t>Sensitivity Analysis, autonomous cost and cost ratio at docks-per-operator of 2, 4, 6 and 8, per site, at the current area.</t>
  </si>
  <si>
    <t>Charts, native Excel charts bound to cell ranges on the Executive Summary. Editing a figure there moves the chart. These are not images.</t>
  </si>
  <si>
    <t>Exceptions, invalid or skipped rows with a specific reason each. Omitted when empty.</t>
  </si>
  <si>
    <t>Original Input, the source worksheet, unmodified.</t>
  </si>
  <si>
    <t>THE MODEL</t>
  </si>
  <si>
    <t>manualHours   = resources x shiftHours x workDays</t>
  </si>
  <si>
    <t>manualCost    = resources x salary</t>
  </si>
  <si>
    <t>hourlyRate    = salary / (shiftHours x workDays)</t>
  </si>
  <si>
    <t>hoursPerDock  = dockHours x dockDays</t>
  </si>
  <si>
    <t>docks         = roundUp( manualHours / (hoursPerDock x subFactor) )</t>
  </si>
  <si>
    <t>operators     = roundUp( docks / docksPerOperator )</t>
  </si>
  <si>
    <t>autoCost      = docks x dockCost + operators x opCost</t>
  </si>
  <si>
    <t>saving        = manualCost - autoCost</t>
  </si>
  <si>
    <t>costRatio     = autoCost / manualCost</t>
  </si>
  <si>
    <t>returnPct     = saving / autoCost</t>
  </si>
  <si>
    <t>paybackMonths = implCost / (saving / 12)</t>
  </si>
  <si>
    <t>hoursMultiple = hoursPerDock / (shiftHours x workDays)</t>
  </si>
  <si>
    <t>ROUNDING, AND WHY IT DIFFERS BY QUANTITY</t>
  </si>
  <si>
    <t>Docks and operators each round up, independently. A dock is a purchase and an operator is a hire: you cannot buy four tenths of a dock or hire a fifth of a person. The operator ratio is applied to the whole dock count, never to a fractional one.</t>
  </si>
  <si>
    <t>Manual resources at the target area are NOT rounded. They are a linear extrapolation of the customer's own staffing that nobody has committed to, not something we procure, a different epistemic status, so a different rule. Rounding 168.75 up to 169 would also inflate manual cost, which flatters the seller, and would turn manual cost into a step function that obscures the linear-versus-sub-linear contrast the target scenario exists to show. Target-area resources are therefore shown to two decimal places.</t>
  </si>
  <si>
    <t>THE TARGET-AREA SCENARIO</t>
  </si>
  <si>
    <t>Resources are scaled by targetArea / area and every line is recomputed, substituting the at-scale docks-per-operator ratio. Nothing is averaged, smoothed or interpolated between the two scenarios.</t>
  </si>
  <si>
    <t>AREA, AND WHAT IT DOES</t>
  </si>
  <si>
    <t>Area enters the model only as the ratio targetArea / area, and as the denominator of the cost-per-unit-area display lines. The model does not price per square foot. If a customer engineer asks where the square footage went, that is the honest answer.</t>
  </si>
  <si>
    <t>An optional Area Unit column is read if present. If the current and target areas carry different units, the row is not priced and appears in Exceptions. If no unit is given, both areas are assumed to share whatever unit the customer used, safe exactly as long as they match. A scale factor outside roughly 0.1x to 50x raises a warning, because that band catches a square-feet-against-acres mix-up without refusing a genuine tenfold expansion.</t>
  </si>
  <si>
    <t>ROW VALIDATION</t>
  </si>
  <si>
    <t>A row is not priced if any required field is missing, non-numeric, negative or zero. Required fields: current area, manual resources, salary, target area, shift hours, working days.</t>
  </si>
  <si>
    <t>Salary and target area are included in the zero check even though the brief names only four fields, because a zero in either produces a division by zero: zero salary makes manual cost zero and the cost ratio infinite, and zero target area collapses the target scenario. No output may contain NaN or infinity, and that requirement wins.</t>
  </si>
  <si>
    <t>Invalid rows are never guessed at. They appear in Exceptions with a specific reason, and in the Executive Summary with blank figures and no recommendation text.</t>
  </si>
  <si>
    <t>THE RECOMMENDATION RULE</t>
  </si>
  <si>
    <t>Evaluated in this order, on the CURRENT-AREA figures:</t>
  </si>
  <si>
    <t>1. costRatio &lt;= 0.35 AND paybackMonths &lt;= 12  -&gt;  "Strong case, proceed to scoped study"</t>
  </si>
  <si>
    <t>2. costRatio &lt;= 0.60 AND paybackMonths &lt;= 24  -&gt;  "Viable, validate assumptions on site"</t>
  </si>
  <si>
    <t>3. costRatio &gt;= 1.00                          -&gt;  "Labour case does not stand alone at these inputs"</t>
  </si>
  <si>
    <t>4. otherwise                                  -&gt;  "Marginal on labour alone, requires additional value pools to justify"</t>
  </si>
  <si>
    <t>Both conditions are required in tiers 1 and 2, not either. Invalid rows receive no recommendation at all.</t>
  </si>
  <si>
    <t>Where the current and target areas fall into different tiers, the Status column says so ("tier improves at target" or "tier weakens at target"). That is a signal, not a conflict, and neither figure is silently preferred.</t>
  </si>
  <si>
    <t>These are rule-derived assessments of what the model shows at the inputs given. They are not guarantees, forecasts or predictions of outcome.</t>
  </si>
  <si>
    <t>PARAMETER RESOLUTION</t>
  </si>
  <si>
    <t>Each autonomous parameter is resolved in this order: a per-row override column, then a Parameters sheet in the input workbook, then the built-in default. The source is recorded for every parameter of every site in the Audit Trail. A tier that supplies a present-but-invalid value does not fall through silently, the rejection is recorded.</t>
  </si>
  <si>
    <t>SOURCE OF EVERY DEFAULT</t>
  </si>
  <si>
    <t>All autonomous-side defaults are placeholders. None is derived from commercial data and none is an industry benchmark. They exist so the model runs before real figures are available, and they must be replaced before this workbook is shown to a customer.</t>
  </si>
  <si>
    <t>dockHours = 24   dockDays = 365   subFactor = 1</t>
  </si>
  <si>
    <t>dockCost = 45000   opCost = 80000</t>
  </si>
  <si>
    <t>docksPerOperator now = 4   at scale = 6</t>
  </si>
  <si>
    <t>implementation = 250000   currency = USD</t>
  </si>
  <si>
    <t>THE SUBSTITUTION FACTOR IS THE KEY UNCERTAINTY</t>
  </si>
  <si>
    <t>It expresses drone hours against labour hours. The default of 1.0 is deliberately conservative: a docked drone does not spend time mobilising to the asset, so the true figure is likely higher than 1.0. It should be raised only against evidence from the site in question, and it moves the dock count more than any other parameter.</t>
  </si>
  <si>
    <t>SCOPE LIMITATION</t>
  </si>
  <si>
    <t>This model prices labour displacement only.</t>
  </si>
  <si>
    <t>It explicitly excludes avoided scaffolding and rope access, avoided shutdown windows, compliance penalty exposure, and unplanned downtime. At industrial scale each of these is typically larger than the labour line. A business case built on this workbook alone understates the value, and should be read as a floor rather than an estimate.</t>
  </si>
  <si>
    <t>No industry benchmark figure appears anywhere in this workbook. Every number is either derived from the model or was supplied by the user.</t>
  </si>
  <si>
    <t>Current Survey Area (sq ft)</t>
  </si>
  <si>
    <t>Manual Resources</t>
  </si>
  <si>
    <t>Salary per Resource ($/yr)</t>
  </si>
  <si>
    <t>Target Area (sq ft)</t>
  </si>
  <si>
    <t>Shift Hours</t>
  </si>
  <si>
    <t>Working Days</t>
  </si>
  <si>
    <t>Substitution Factor</t>
  </si>
  <si>
    <t>Docks per Operator Now</t>
  </si>
</sst>
</file>

<file path=xl/styles.xml><?xml version="1.0" encoding="utf-8"?>
<styleSheet xmlns="http://schemas.openxmlformats.org/spreadsheetml/2006/main">
  <numFmts count="5">
    <numFmt numFmtId="164" formatCode="#,##0;[Red]-#,##0"/>
    <numFmt numFmtId="165" formatCode="0.0%"/>
    <numFmt numFmtId="166" formatCode="0.0"/>
    <numFmt numFmtId="167" formatCode="0.0&quot;x&quot;"/>
    <numFmt numFmtId="168" formatCode="#,##0.00;[Red]-#,##0.00"/>
  </numFmts>
  <fonts count="2">
    <font>
      <name val="Calibri"/>
      <family val="2"/>
      <color theme="1"/>
      <sz val="11"/>
      <scheme val="minor"/>
    </font>
    <font>
      <b/>
    </font>
  </fonts>
  <fills count="3">
    <fill>
      <patternFill/>
    </fill>
    <fill>
      <patternFill patternType="gray125"/>
    </fill>
    <fill>
      <patternFill patternType="solid">
        <fgColor rgb="FFE4EDEF"/>
      </patternFill>
    </fill>
  </fills>
  <borders count="1">
    <border/>
  </borders>
  <cellStyleXfs count="1">
    <xf numFmtId="0" fontId="0" fillId="0" borderId="0"/>
  </cellStyleXfs>
  <cellXfs count="11">
    <xf numFmtId="0" fontId="0" fillId="0" borderId="0"/>
    <xf numFmtId="0" fontId="0" fillId="2" borderId="0" applyFill="1"/>
    <xf numFmtId="0" fontId="1" fillId="2" borderId="0" applyFont="1" applyFill="1"/>
    <xf numFmtId="164" fontId="0" fillId="0" borderId="0" applyNumberFormat="1"/>
    <xf numFmtId="165" fontId="0" fillId="0" borderId="0" applyNumberFormat="1"/>
    <xf numFmtId="9" fontId="0" fillId="0" borderId="0" applyNumberFormat="1"/>
    <xf numFmtId="166" fontId="0" fillId="0" borderId="0" applyNumberFormat="1"/>
    <xf numFmtId="167" fontId="0" fillId="0" borderId="0" applyNumberFormat="1"/>
    <xf numFmtId="3" fontId="0" fillId="0" borderId="0" applyNumberFormat="1"/>
    <xf numFmtId="4" fontId="0" fillId="0" borderId="0" applyNumberFormat="1"/>
    <xf numFmtId="168" fontId="0" fillId="0" border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Manual vs Autonomous Cost</a:t>
            </a:r>
          </a:p>
        </c:rich>
      </c:tx>
      <c:layout/>
      <c:overlay val="0"/>
    </c:title>
    <c:autoTitleDeleted val="0"/>
    <c:plotArea>
      <c:layout/>
      <c:barChart>
        <c:barDir val="col"/>
        <c:grouping val="clustered"/>
        <c:varyColors val="0"/>
        <c:ser>
          <c:idx val="0"/>
          <c:order val="0"/>
          <c:tx>
            <c:strRef>
              <c:f>'Executive Summary'!$F$1</c:f>
            </c:strRef>
          </c:tx>
          <c:cat>
            <c:strRef>
              <c:f>'Executive Summary'!$A$2:$A$13</c:f>
            </c:strRef>
          </c:cat>
          <c:val>
            <c:numRef>
              <c:f>'Executive Summary'!$F$2:$F$13</c:f>
            </c:numRef>
          </c:val>
        </c:ser>
        <c:ser>
          <c:idx val="1"/>
          <c:order val="1"/>
          <c:tx>
            <c:strRef>
              <c:f>'Executive Summary'!$G$1</c:f>
            </c:strRef>
          </c:tx>
          <c:cat>
            <c:strRef>
              <c:f>'Executive Summary'!$A$2:$A$13</c:f>
            </c:strRef>
          </c:cat>
          <c:val>
            <c:numRef>
              <c:f>'Executive Summary'!$G$2:$G$13</c:f>
            </c:numRef>
          </c:val>
        </c:ser>
        <c:gapWidth val="60"/>
        <c:axId val="1000"/>
        <c:axId val="1001"/>
      </c:barChart>
      <c:catAx>
        <c:axId val="1000"/>
        <c:scaling>
          <c:orientation val="minMax"/>
        </c:scaling>
        <c:delete val="0"/>
        <c:axPos val="b"/>
        <c:numFmt formatCode="General" sourceLinked="1"/>
        <c:majorTickMark val="out"/>
        <c:minorTickMark val="none"/>
        <c:tickLblPos val="nextTo"/>
        <c:crossAx val="1001"/>
        <c:crosses val="autoZero"/>
        <c:auto val="1"/>
        <c:lblAlgn val="ctr"/>
        <c:lblOffset val="100"/>
        <c:noMultiLvlLbl val="0"/>
      </c:catAx>
      <c:valAx>
        <c:axId val="1001"/>
        <c:scaling>
          <c:orientation val="minMax"/>
        </c:scaling>
        <c:delete val="0"/>
        <c:axPos val="l"/>
        <c:numFmt formatCode="#,##0" sourceLinked="0"/>
        <c:majorTickMark val="out"/>
        <c:minorTickMark val="none"/>
        <c:tickLblPos val="nextTo"/>
        <c:crossAx val="1000"/>
        <c:crosses val="autoZero"/>
        <c:crossBetween val="between"/>
      </c:valAx>
    </c:plotArea>
    <c:legend>
      <c:legendPos val="b"/>
    </c:legend>
    <c:plotVisOnly val="1"/>
    <c:dispBlanksAs val="gap"/>
  </c:char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Annual Savings</a:t>
            </a:r>
          </a:p>
        </c:rich>
      </c:tx>
      <c:layout/>
      <c:overlay val="0"/>
    </c:title>
    <c:autoTitleDeleted val="0"/>
    <c:plotArea>
      <c:layout/>
      <c:barChart>
        <c:barDir val="col"/>
        <c:grouping val="clustered"/>
        <c:varyColors val="0"/>
        <c:ser>
          <c:idx val="0"/>
          <c:order val="0"/>
          <c:tx>
            <c:strRef>
              <c:f>'Executive Summary'!$H$1</c:f>
            </c:strRef>
          </c:tx>
          <c:cat>
            <c:strRef>
              <c:f>'Executive Summary'!$A$2:$A$13</c:f>
            </c:strRef>
          </c:cat>
          <c:val>
            <c:numRef>
              <c:f>'Executive Summary'!$H$2:$H$13</c:f>
            </c:numRef>
          </c:val>
        </c:ser>
        <c:gapWidth val="60"/>
        <c:axId val="1002"/>
        <c:axId val="1003"/>
      </c:barChart>
      <c:catAx>
        <c:axId val="1002"/>
        <c:scaling>
          <c:orientation val="minMax"/>
        </c:scaling>
        <c:delete val="0"/>
        <c:axPos val="b"/>
        <c:numFmt formatCode="General" sourceLinked="1"/>
        <c:majorTickMark val="out"/>
        <c:minorTickMark val="none"/>
        <c:tickLblPos val="nextTo"/>
        <c:crossAx val="1003"/>
        <c:crosses val="autoZero"/>
        <c:auto val="1"/>
        <c:lblAlgn val="ctr"/>
        <c:lblOffset val="100"/>
        <c:noMultiLvlLbl val="0"/>
      </c:catAx>
      <c:valAx>
        <c:axId val="1003"/>
        <c:scaling>
          <c:orientation val="minMax"/>
        </c:scaling>
        <c:delete val="0"/>
        <c:axPos val="l"/>
        <c:numFmt formatCode="#,##0" sourceLinked="0"/>
        <c:majorTickMark val="out"/>
        <c:minorTickMark val="none"/>
        <c:tickLblPos val="nextTo"/>
        <c:crossAx val="1002"/>
        <c:crosses val="autoZero"/>
        <c:crossBetween val="between"/>
      </c:valAx>
    </c:plotArea>
    <c:legend>
      <c:legendPos val="b"/>
    </c:legend>
    <c:plotVisOnly val="1"/>
    <c:dispBlanksAs val="gap"/>
  </c:char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Cost Ratio</a:t>
            </a:r>
          </a:p>
        </c:rich>
      </c:tx>
      <c:layout/>
      <c:overlay val="0"/>
    </c:title>
    <c:autoTitleDeleted val="0"/>
    <c:plotArea>
      <c:layout/>
      <c:barChart>
        <c:barDir val="col"/>
        <c:grouping val="clustered"/>
        <c:varyColors val="0"/>
        <c:ser>
          <c:idx val="0"/>
          <c:order val="0"/>
          <c:tx>
            <c:strRef>
              <c:f>'Executive Summary'!$I$1</c:f>
            </c:strRef>
          </c:tx>
          <c:cat>
            <c:strRef>
              <c:f>'Executive Summary'!$A$2:$A$13</c:f>
            </c:strRef>
          </c:cat>
          <c:val>
            <c:numRef>
              <c:f>'Executive Summary'!$I$2:$I$13</c:f>
            </c:numRef>
          </c:val>
        </c:ser>
        <c:ser>
          <c:idx val="1"/>
          <c:order val="1"/>
          <c:tx>
            <c:strRef>
              <c:f>'Executive Summary'!$J$1</c:f>
            </c:strRef>
          </c:tx>
          <c:cat>
            <c:strRef>
              <c:f>'Executive Summary'!$A$2:$A$13</c:f>
            </c:strRef>
          </c:cat>
          <c:val>
            <c:numRef>
              <c:f>'Executive Summary'!$J$2:$J$13</c:f>
            </c:numRef>
          </c:val>
        </c:ser>
        <c:gapWidth val="60"/>
        <c:axId val="1004"/>
        <c:axId val="1005"/>
      </c:barChart>
      <c:catAx>
        <c:axId val="1004"/>
        <c:scaling>
          <c:orientation val="minMax"/>
        </c:scaling>
        <c:delete val="0"/>
        <c:axPos val="b"/>
        <c:numFmt formatCode="General" sourceLinked="1"/>
        <c:majorTickMark val="out"/>
        <c:minorTickMark val="none"/>
        <c:tickLblPos val="nextTo"/>
        <c:crossAx val="1005"/>
        <c:crosses val="autoZero"/>
        <c:auto val="1"/>
        <c:lblAlgn val="ctr"/>
        <c:lblOffset val="100"/>
        <c:noMultiLvlLbl val="0"/>
      </c:catAx>
      <c:valAx>
        <c:axId val="1005"/>
        <c:scaling>
          <c:orientation val="minMax"/>
        </c:scaling>
        <c:delete val="0"/>
        <c:axPos val="l"/>
        <c:numFmt formatCode="0.0%" sourceLinked="0"/>
        <c:majorTickMark val="out"/>
        <c:minorTickMark val="none"/>
        <c:tickLblPos val="nextTo"/>
        <c:crossAx val="1004"/>
        <c:crosses val="autoZero"/>
        <c:crossBetween val="between"/>
      </c:valAx>
    </c:plotArea>
    <c:legend>
      <c:legendPos val="b"/>
    </c:legend>
    <c:plotVisOnly val="1"/>
    <c:dispBlanksAs val="gap"/>
  </c:char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Return %</a:t>
            </a:r>
          </a:p>
        </c:rich>
      </c:tx>
      <c:layout/>
      <c:overlay val="0"/>
    </c:title>
    <c:autoTitleDeleted val="0"/>
    <c:plotArea>
      <c:layout/>
      <c:barChart>
        <c:barDir val="col"/>
        <c:grouping val="clustered"/>
        <c:varyColors val="0"/>
        <c:ser>
          <c:idx val="0"/>
          <c:order val="0"/>
          <c:tx>
            <c:strRef>
              <c:f>'Executive Summary'!$K$1</c:f>
            </c:strRef>
          </c:tx>
          <c:cat>
            <c:strRef>
              <c:f>'Executive Summary'!$A$2:$A$13</c:f>
            </c:strRef>
          </c:cat>
          <c:val>
            <c:numRef>
              <c:f>'Executive Summary'!$K$2:$K$13</c:f>
            </c:numRef>
          </c:val>
        </c:ser>
        <c:gapWidth val="60"/>
        <c:axId val="1006"/>
        <c:axId val="1007"/>
      </c:barChart>
      <c:catAx>
        <c:axId val="1006"/>
        <c:scaling>
          <c:orientation val="minMax"/>
        </c:scaling>
        <c:delete val="0"/>
        <c:axPos val="b"/>
        <c:numFmt formatCode="General" sourceLinked="1"/>
        <c:majorTickMark val="out"/>
        <c:minorTickMark val="none"/>
        <c:tickLblPos val="nextTo"/>
        <c:crossAx val="1007"/>
        <c:crosses val="autoZero"/>
        <c:auto val="1"/>
        <c:lblAlgn val="ctr"/>
        <c:lblOffset val="100"/>
        <c:noMultiLvlLbl val="0"/>
      </c:catAx>
      <c:valAx>
        <c:axId val="1007"/>
        <c:scaling>
          <c:orientation val="minMax"/>
        </c:scaling>
        <c:delete val="0"/>
        <c:axPos val="l"/>
        <c:numFmt formatCode="0%" sourceLinked="0"/>
        <c:majorTickMark val="out"/>
        <c:minorTickMark val="none"/>
        <c:tickLblPos val="nextTo"/>
        <c:crossAx val="1006"/>
        <c:crosses val="autoZero"/>
        <c:crossBetween val="between"/>
      </c:valAx>
    </c:plotArea>
    <c:legend>
      <c:legendPos val="b"/>
    </c:legend>
    <c:plotVisOnly val="1"/>
    <c:dispBlanksAs val="gap"/>
  </c:char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Payback Months</a:t>
            </a:r>
          </a:p>
        </c:rich>
      </c:tx>
      <c:layout/>
      <c:overlay val="0"/>
    </c:title>
    <c:autoTitleDeleted val="0"/>
    <c:plotArea>
      <c:layout/>
      <c:barChart>
        <c:barDir val="col"/>
        <c:grouping val="clustered"/>
        <c:varyColors val="0"/>
        <c:ser>
          <c:idx val="0"/>
          <c:order val="0"/>
          <c:tx>
            <c:strRef>
              <c:f>'Executive Summary'!$L$1</c:f>
            </c:strRef>
          </c:tx>
          <c:cat>
            <c:strRef>
              <c:f>'Executive Summary'!$A$2:$A$13</c:f>
            </c:strRef>
          </c:cat>
          <c:val>
            <c:numRef>
              <c:f>'Executive Summary'!$L$2:$L$13</c:f>
            </c:numRef>
          </c:val>
        </c:ser>
        <c:gapWidth val="60"/>
        <c:axId val="1008"/>
        <c:axId val="1009"/>
      </c:barChart>
      <c:catAx>
        <c:axId val="1008"/>
        <c:scaling>
          <c:orientation val="minMax"/>
        </c:scaling>
        <c:delete val="0"/>
        <c:axPos val="b"/>
        <c:numFmt formatCode="General" sourceLinked="1"/>
        <c:majorTickMark val="out"/>
        <c:minorTickMark val="none"/>
        <c:tickLblPos val="nextTo"/>
        <c:crossAx val="1009"/>
        <c:crosses val="autoZero"/>
        <c:auto val="1"/>
        <c:lblAlgn val="ctr"/>
        <c:lblOffset val="100"/>
        <c:noMultiLvlLbl val="0"/>
      </c:catAx>
      <c:valAx>
        <c:axId val="1009"/>
        <c:scaling>
          <c:orientation val="minMax"/>
        </c:scaling>
        <c:delete val="0"/>
        <c:axPos val="l"/>
        <c:numFmt formatCode="0.0" sourceLinked="0"/>
        <c:majorTickMark val="out"/>
        <c:minorTickMark val="none"/>
        <c:tickLblPos val="nextTo"/>
        <c:crossAx val="1008"/>
        <c:crosses val="autoZero"/>
        <c:crossBetween val="between"/>
      </c:valAx>
    </c:plotArea>
    <c:legend>
      <c:legendPos val="b"/>
    </c:legend>
    <c:plotVisOnly val="1"/>
    <c:dispBlanksAs val="gap"/>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6286500" cy="3619500"/>
    <xdr:graphicFrame>
      <xdr:nvGraphicFramePr>
        <xdr:cNvPr id="2" name="Chart 1"/>
        <xdr:cNvGraphicFramePr/>
      </xdr:nvGraphicFramePr>
      <xdr:xfrm>
        <a:off x="0" y="0"/>
        <a:ext cx="6286500" cy="361950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25</xdr:row>
      <xdr:rowOff>0</xdr:rowOff>
    </xdr:from>
    <xdr:ext cx="6286500" cy="3619500"/>
    <xdr:graphicFrame>
      <xdr:nvGraphicFramePr>
        <xdr:cNvPr id="3" name="Chart 2"/>
        <xdr:cNvGraphicFramePr/>
      </xdr:nvGraphicFramePr>
      <xdr:xfrm>
        <a:off x="0" y="0"/>
        <a:ext cx="6286500" cy="361950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46</xdr:row>
      <xdr:rowOff>0</xdr:rowOff>
    </xdr:from>
    <xdr:ext cx="6286500" cy="3619500"/>
    <xdr:graphicFrame>
      <xdr:nvGraphicFramePr>
        <xdr:cNvPr id="4" name="Chart 3"/>
        <xdr:cNvGraphicFramePr/>
      </xdr:nvGraphicFramePr>
      <xdr:xfrm>
        <a:off x="0" y="0"/>
        <a:ext cx="6286500" cy="361950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67</xdr:row>
      <xdr:rowOff>0</xdr:rowOff>
    </xdr:from>
    <xdr:ext cx="6286500" cy="3619500"/>
    <xdr:graphicFrame>
      <xdr:nvGraphicFramePr>
        <xdr:cNvPr id="5" name="Chart 4"/>
        <xdr:cNvGraphicFramePr/>
      </xdr:nvGraphicFramePr>
      <xdr:xfrm>
        <a:off x="0" y="0"/>
        <a:ext cx="6286500" cy="361950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88</xdr:row>
      <xdr:rowOff>0</xdr:rowOff>
    </xdr:from>
    <xdr:ext cx="6286500" cy="3619500"/>
    <xdr:graphicFrame>
      <xdr:nvGraphicFramePr>
        <xdr:cNvPr id="6" name="Chart 5"/>
        <xdr:cNvGraphicFramePr/>
      </xdr:nvGraphicFramePr>
      <xdr:xfrm>
        <a:off x="0" y="0"/>
        <a:ext cx="6286500" cy="361950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Q13"/>
  <sheetViews>
    <sheetView workbookViewId="0">
      <pane ySplit="1" topLeftCell="A2" activePane="bottomLeft" state="frozen"/>
    </sheetView>
  </sheetViews>
  <sheetFormatPr defaultRowHeight="15"/>
  <cols>
    <col min="1" max="1" width="16" customWidth="1"/>
    <col min="2" max="2" width="17" customWidth="1"/>
    <col min="3" max="3" width="15" customWidth="1"/>
    <col min="4" max="4" width="15" customWidth="1"/>
    <col min="5" max="5" width="52" customWidth="1"/>
    <col min="6" max="6" width="19" customWidth="1"/>
    <col min="7" max="7" width="23" customWidth="1"/>
    <col min="8" max="8" width="21" customWidth="1"/>
    <col min="9" max="9" width="27" customWidth="1"/>
    <col min="10" max="10" width="26" customWidth="1"/>
    <col min="11" max="11" width="20" customWidth="1"/>
    <col min="12" max="12" width="21" customWidth="1"/>
    <col min="13" max="13" width="19" customWidth="1"/>
    <col min="14" max="14" width="16" customWidth="1"/>
    <col min="15" max="15" width="20" customWidth="1"/>
    <col min="16" max="16" width="25" customWidth="1"/>
    <col min="17" max="17" width="5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t="s">
        <v>17</v>
      </c>
      <c r="B2" t="s">
        <v>18</v>
      </c>
      <c r="C2" t="s">
        <v>19</v>
      </c>
      <c r="D2" t="s">
        <v>20</v>
      </c>
      <c r="E2" t="s">
        <v>21</v>
      </c>
      <c r="F2" s="3">
        <v>8000000</v>
      </c>
      <c r="G2" s="3">
        <v>1820000</v>
      </c>
      <c r="H2" s="3">
        <v>6180000</v>
      </c>
      <c r="I2" s="4">
        <v>0.2275</v>
      </c>
      <c r="J2" s="4">
        <v>0.2046875</v>
      </c>
      <c r="K2" s="5">
        <v>3.3956043956043955</v>
      </c>
      <c r="L2" s="6">
        <v>0.4854368932038835</v>
      </c>
      <c r="M2" s="7">
        <v>3.65</v>
      </c>
      <c r="N2" s="8">
        <v>28</v>
      </c>
      <c r="O2" s="8">
        <v>7</v>
      </c>
      <c r="P2" t="s">
        <v>22</v>
      </c>
      <c r="Q2" t="s">
        <v>23</v>
      </c>
    </row>
    <row r="3">
      <c r="A3" t="s">
        <v>24</v>
      </c>
      <c r="B3" t="s">
        <v>25</v>
      </c>
      <c r="C3" t="s">
        <v>19</v>
      </c>
      <c r="D3" t="s">
        <v>20</v>
      </c>
      <c r="E3" t="s">
        <v>26</v>
      </c>
      <c r="F3" s="3">
        <v>11900000</v>
      </c>
      <c r="G3" s="3">
        <v>2555000</v>
      </c>
      <c r="H3" s="3">
        <v>9345000</v>
      </c>
      <c r="I3" s="4">
        <v>0.21470588235294116</v>
      </c>
      <c r="J3" s="4">
        <v>0.18928571428571428</v>
      </c>
      <c r="K3" s="5">
        <v>3.6575342465753424</v>
      </c>
      <c r="L3" s="6">
        <v>0.32102728731942215</v>
      </c>
      <c r="M3" s="7">
        <v>3.65</v>
      </c>
      <c r="N3" s="8">
        <v>39</v>
      </c>
      <c r="O3" s="8">
        <v>10</v>
      </c>
      <c r="P3" t="s">
        <v>22</v>
      </c>
      <c r="Q3" t="s">
        <v>23</v>
      </c>
    </row>
    <row r="4">
      <c r="A4" t="s">
        <v>27</v>
      </c>
      <c r="B4" t="s">
        <v>28</v>
      </c>
      <c r="C4" t="s">
        <v>19</v>
      </c>
      <c r="D4" t="s">
        <v>29</v>
      </c>
      <c r="E4" t="s">
        <v>30</v>
      </c>
      <c r="F4" s="3">
        <v>16200000</v>
      </c>
      <c r="G4" s="3">
        <v>4330000</v>
      </c>
      <c r="H4" s="3">
        <v>11870000</v>
      </c>
      <c r="I4" s="4">
        <v>0.26728395061728394</v>
      </c>
      <c r="J4" s="4">
        <v>0.23765432098765432</v>
      </c>
      <c r="K4" s="5">
        <v>2.741339491916859</v>
      </c>
      <c r="L4" s="6">
        <v>0.25273799494524013</v>
      </c>
      <c r="M4" s="7">
        <v>2.7375</v>
      </c>
      <c r="N4" s="8">
        <v>66</v>
      </c>
      <c r="O4" s="8">
        <v>17</v>
      </c>
      <c r="P4" t="s">
        <v>22</v>
      </c>
      <c r="Q4" t="s">
        <v>23</v>
      </c>
    </row>
    <row r="5">
      <c r="A5" t="s">
        <v>31</v>
      </c>
      <c r="B5" t="s">
        <v>32</v>
      </c>
      <c r="C5" t="s">
        <v>33</v>
      </c>
      <c r="D5" t="s">
        <v>20</v>
      </c>
      <c r="E5" t="s">
        <v>34</v>
      </c>
      <c r="F5" s="3">
        <v>4200000</v>
      </c>
      <c r="G5" s="3">
        <v>1165000</v>
      </c>
      <c r="H5" s="3">
        <v>3035000</v>
      </c>
      <c r="I5" s="4">
        <v>0.2773809523809524</v>
      </c>
      <c r="J5" s="4">
        <v>0.23392857142857143</v>
      </c>
      <c r="K5" s="5">
        <v>2.6051502145922747</v>
      </c>
      <c r="L5" s="6">
        <v>0.9884678747940693</v>
      </c>
      <c r="M5" s="7">
        <v>3.65</v>
      </c>
      <c r="N5" s="8">
        <v>17</v>
      </c>
      <c r="O5" s="8">
        <v>5</v>
      </c>
      <c r="P5" t="s">
        <v>22</v>
      </c>
      <c r="Q5" t="s">
        <v>23</v>
      </c>
    </row>
    <row r="6">
      <c r="A6" t="s">
        <v>35</v>
      </c>
      <c r="B6" t="s">
        <v>36</v>
      </c>
      <c r="C6" t="s">
        <v>19</v>
      </c>
      <c r="D6" t="s">
        <v>37</v>
      </c>
      <c r="E6" t="s">
        <v>38</v>
      </c>
      <c r="F6" s="3">
        <v>30400000</v>
      </c>
      <c r="G6" s="3">
        <v>9485000</v>
      </c>
      <c r="H6" s="3">
        <v>20915000</v>
      </c>
      <c r="I6" s="4">
        <v>0.31200657894736844</v>
      </c>
      <c r="J6" s="4">
        <v>0.2785380116959064</v>
      </c>
      <c r="K6" s="5">
        <v>2.2050606220347917</v>
      </c>
      <c r="L6" s="6">
        <v>0.14343772412144393</v>
      </c>
      <c r="M6" s="7">
        <v>2.212121212121212</v>
      </c>
      <c r="N6" s="8">
        <v>145</v>
      </c>
      <c r="O6" s="8">
        <v>37</v>
      </c>
      <c r="P6" t="s">
        <v>22</v>
      </c>
      <c r="Q6" t="s">
        <v>23</v>
      </c>
    </row>
    <row r="7">
      <c r="A7" t="s">
        <v>39</v>
      </c>
      <c r="B7" t="s">
        <v>40</v>
      </c>
      <c r="C7" t="s">
        <v>33</v>
      </c>
      <c r="D7" t="s">
        <v>20</v>
      </c>
      <c r="E7" t="s">
        <v>41</v>
      </c>
      <c r="F7" s="3">
        <v>7380000</v>
      </c>
      <c r="G7" s="3">
        <v>1730000</v>
      </c>
      <c r="H7" s="3">
        <v>5650000</v>
      </c>
      <c r="I7" s="4">
        <v>0.23441734417344173</v>
      </c>
      <c r="J7" s="4">
        <v>0.2023486901535682</v>
      </c>
      <c r="K7" s="5">
        <v>3.2658959537572256</v>
      </c>
      <c r="L7" s="6">
        <v>0.5309734513274337</v>
      </c>
      <c r="M7" s="7">
        <v>3.532258064516129</v>
      </c>
      <c r="N7" s="8">
        <v>26</v>
      </c>
      <c r="O7" s="8">
        <v>7</v>
      </c>
      <c r="P7" t="s">
        <v>22</v>
      </c>
      <c r="Q7" t="s">
        <v>23</v>
      </c>
    </row>
    <row r="8">
      <c r="A8" t="s">
        <v>42</v>
      </c>
      <c r="B8" t="s">
        <v>43</v>
      </c>
      <c r="C8" t="s">
        <v>44</v>
      </c>
      <c r="D8" t="s">
        <v>45</v>
      </c>
      <c r="E8" t="s">
        <v>46</v>
      </c>
      <c r="F8" s="3">
        <v>5525000</v>
      </c>
      <c r="G8" s="3">
        <v>1560000</v>
      </c>
      <c r="H8" s="3">
        <v>3965000</v>
      </c>
      <c r="I8" s="4">
        <v>0.2823529411764706</v>
      </c>
      <c r="J8" s="4">
        <v>0.2493212669683258</v>
      </c>
      <c r="K8" s="5">
        <v>2.5416666666666665</v>
      </c>
      <c r="L8" s="6">
        <v>0.7566204287515762</v>
      </c>
      <c r="M8" s="7">
        <v>3.65</v>
      </c>
      <c r="N8" s="8">
        <v>24</v>
      </c>
      <c r="O8" s="8">
        <v>6</v>
      </c>
      <c r="P8" t="s">
        <v>22</v>
      </c>
      <c r="Q8" t="s">
        <v>23</v>
      </c>
    </row>
    <row r="9">
      <c r="A9" t="s">
        <v>47</v>
      </c>
      <c r="B9" t="s">
        <v>48</v>
      </c>
      <c r="C9" t="s">
        <v>49</v>
      </c>
      <c r="D9" t="s">
        <v>45</v>
      </c>
      <c r="E9" t="s">
        <v>50</v>
      </c>
      <c r="F9" s="3">
        <v>23400000</v>
      </c>
      <c r="G9" s="3">
        <v>7710000</v>
      </c>
      <c r="H9" s="3">
        <v>15690000</v>
      </c>
      <c r="I9" s="4">
        <v>0.3294871794871795</v>
      </c>
      <c r="J9" s="4">
        <v>0.29505494505494506</v>
      </c>
      <c r="K9" s="5">
        <v>2.035019455252918</v>
      </c>
      <c r="L9" s="6">
        <v>0.19120458891013384</v>
      </c>
      <c r="M9" s="7">
        <v>2.212121212121212</v>
      </c>
      <c r="N9" s="8">
        <v>118</v>
      </c>
      <c r="O9" s="8">
        <v>30</v>
      </c>
      <c r="P9" t="s">
        <v>22</v>
      </c>
      <c r="Q9" t="s">
        <v>23</v>
      </c>
    </row>
    <row r="10">
      <c r="A10" t="s">
        <v>51</v>
      </c>
      <c r="B10" t="s">
        <v>52</v>
      </c>
      <c r="C10" t="s">
        <v>53</v>
      </c>
      <c r="D10" t="s">
        <v>45</v>
      </c>
      <c r="E10" t="s">
        <v>54</v>
      </c>
      <c r="F10" s="3">
        <v>9880000</v>
      </c>
      <c r="G10" s="3">
        <v>1740000</v>
      </c>
      <c r="H10" s="3">
        <v>8140000</v>
      </c>
      <c r="I10" s="4">
        <v>0.17611336032388664</v>
      </c>
      <c r="J10" s="4">
        <v>0.16346153846153846</v>
      </c>
      <c r="K10" s="5">
        <v>4.67816091954023</v>
      </c>
      <c r="L10" s="6">
        <v>0.36855036855036855</v>
      </c>
      <c r="M10" s="7">
        <v>3.65</v>
      </c>
      <c r="N10" s="8">
        <v>28</v>
      </c>
      <c r="O10" s="8">
        <v>6</v>
      </c>
      <c r="P10" t="s">
        <v>22</v>
      </c>
      <c r="Q10" t="s">
        <v>23</v>
      </c>
    </row>
    <row r="11">
      <c r="A11" t="s">
        <v>55</v>
      </c>
      <c r="B11" t="s">
        <v>56</v>
      </c>
      <c r="C11" t="s">
        <v>53</v>
      </c>
      <c r="D11" t="s">
        <v>45</v>
      </c>
      <c r="E11" t="s">
        <v>57</v>
      </c>
      <c r="F11" s="3">
        <v>17160000</v>
      </c>
      <c r="G11" s="3">
        <v>5325000</v>
      </c>
      <c r="H11" s="3">
        <v>11835000</v>
      </c>
      <c r="I11" s="4">
        <v>0.3103146853146853</v>
      </c>
      <c r="J11" s="4">
        <v>0.27403846153846156</v>
      </c>
      <c r="K11" s="5">
        <v>2.222535211267606</v>
      </c>
      <c r="L11" s="6">
        <v>0.2534854245880862</v>
      </c>
      <c r="M11" s="7">
        <v>2.7375</v>
      </c>
      <c r="N11" s="8">
        <v>81</v>
      </c>
      <c r="O11" s="8">
        <v>21</v>
      </c>
      <c r="P11" t="s">
        <v>22</v>
      </c>
      <c r="Q11" t="s">
        <v>23</v>
      </c>
    </row>
    <row r="12">
      <c r="A12" t="s">
        <v>58</v>
      </c>
      <c r="B12" t="s">
        <v>59</v>
      </c>
      <c r="C12" t="s">
        <v>33</v>
      </c>
      <c r="D12" t="s">
        <v>20</v>
      </c>
      <c r="E12" t="s">
        <v>60</v>
      </c>
      <c r="F12" s="3">
        <v>90000</v>
      </c>
      <c r="G12" s="3">
        <v>125000</v>
      </c>
      <c r="H12" s="3">
        <v>-35000</v>
      </c>
      <c r="I12" s="4">
        <v>1.3888888888888888</v>
      </c>
      <c r="J12" s="4">
        <v>0.9259259259259259</v>
      </c>
      <c r="K12" s="5">
        <v>-0.28</v>
      </c>
      <c r="L12" s="6"/>
      <c r="M12" s="7">
        <v>4.211538461538462</v>
      </c>
      <c r="N12" s="8">
        <v>1</v>
      </c>
      <c r="O12" s="8">
        <v>1</v>
      </c>
      <c r="P12" t="s">
        <v>61</v>
      </c>
      <c r="Q12" t="s">
        <v>62</v>
      </c>
    </row>
    <row r="13">
      <c r="A13" t="s">
        <v>63</v>
      </c>
      <c r="B13" t="s">
        <v>64</v>
      </c>
      <c r="C13" t="s">
        <v>19</v>
      </c>
      <c r="D13" t="s">
        <v>65</v>
      </c>
      <c r="E13" t="s">
        <v>66</v>
      </c>
      <c r="F13" s="3"/>
      <c r="G13" s="3"/>
      <c r="H13" s="3"/>
      <c r="I13" s="4"/>
      <c r="J13" s="4"/>
      <c r="K13" s="5"/>
      <c r="L13" s="6"/>
      <c r="M13" s="7"/>
      <c r="N13" s="8"/>
      <c r="O13" s="8"/>
      <c r="P13" t="s">
        <v>67</v>
      </c>
    </row>
  </sheetData>
  <conditionalFormatting sqref="I2:I13">
    <cfRule type="colorScale" priority="1">
      <colorScale>
        <cfvo type="min"/>
        <cfvo type="max"/>
        <color rgb="FFE4EFE8"/>
        <color rgb="FFFBEEDF"/>
      </colorScale>
    </cfRule>
  </conditionalFormatting>
  <conditionalFormatting sqref="L2:L13">
    <cfRule type="colorScale" priority="2">
      <colorScale>
        <cfvo type="min"/>
        <cfvo type="max"/>
        <color rgb="FFE4EFE8"/>
        <color rgb="FFFBEEDF"/>
      </colorScale>
    </cfRule>
  </conditionalFormatting>
</worksheet>
</file>

<file path=xl/worksheets/sheet2.xml><?xml version="1.0" encoding="utf-8"?>
<worksheet xmlns="http://schemas.openxmlformats.org/spreadsheetml/2006/main" xmlns:r="http://schemas.openxmlformats.org/officeDocument/2006/relationships">
  <dimension ref="A1:U26"/>
  <sheetViews>
    <sheetView workbookViewId="0">
      <pane ySplit="1" topLeftCell="A2" activePane="bottomLeft" state="frozen"/>
    </sheetView>
  </sheetViews>
  <sheetFormatPr defaultRowHeight="15"/>
  <cols>
    <col min="1" max="1" width="52" customWidth="1"/>
    <col min="2" max="2" width="17" customWidth="1"/>
    <col min="3" max="3" width="14" customWidth="1"/>
    <col min="4" max="4" width="13" customWidth="1"/>
    <col min="5" max="5" width="20" customWidth="1"/>
    <col min="6" max="6" width="25" customWidth="1"/>
    <col min="7" max="7" width="20" customWidth="1"/>
    <col min="8" max="8" width="20" customWidth="1"/>
    <col min="9" max="9" width="19" customWidth="1"/>
    <col min="10" max="10" width="20" customWidth="1"/>
    <col min="11" max="11" width="16" customWidth="1"/>
    <col min="12" max="12" width="23" customWidth="1"/>
    <col min="13" max="13" width="10" customWidth="1"/>
    <col min="14" max="14" width="27" customWidth="1"/>
    <col min="15" max="15" width="11" customWidth="1"/>
    <col min="16" max="16" width="17" customWidth="1"/>
    <col min="17" max="17" width="19" customWidth="1"/>
    <col min="18" max="18" width="21" customWidth="1"/>
    <col min="19" max="19" width="20" customWidth="1"/>
    <col min="20" max="20" width="21" customWidth="1"/>
    <col min="21" max="21" width="19" customWidth="1"/>
  </cols>
  <sheetData>
    <row r="1">
      <c r="A1" s="2" t="s">
        <v>0</v>
      </c>
      <c r="B1" s="2" t="s">
        <v>1</v>
      </c>
      <c r="C1" s="2" t="s">
        <v>68</v>
      </c>
      <c r="D1" s="2" t="s">
        <v>69</v>
      </c>
      <c r="E1" s="2" t="s">
        <v>70</v>
      </c>
      <c r="F1" s="2" t="s">
        <v>71</v>
      </c>
      <c r="G1" s="2" t="s">
        <v>72</v>
      </c>
      <c r="H1" s="2" t="s">
        <v>73</v>
      </c>
      <c r="I1" s="2" t="s">
        <v>74</v>
      </c>
      <c r="J1" s="2" t="s">
        <v>75</v>
      </c>
      <c r="K1" s="2" t="s">
        <v>76</v>
      </c>
      <c r="L1" s="2" t="s">
        <v>77</v>
      </c>
      <c r="M1" s="2" t="s">
        <v>78</v>
      </c>
      <c r="N1" s="2" t="s">
        <v>79</v>
      </c>
      <c r="O1" s="2" t="s">
        <v>80</v>
      </c>
      <c r="P1" s="2" t="s">
        <v>81</v>
      </c>
      <c r="Q1" s="2" t="s">
        <v>82</v>
      </c>
      <c r="R1" s="2" t="s">
        <v>83</v>
      </c>
      <c r="S1" s="2" t="s">
        <v>10</v>
      </c>
      <c r="T1" s="2" t="s">
        <v>84</v>
      </c>
      <c r="U1" s="2" t="s">
        <v>85</v>
      </c>
    </row>
    <row r="2">
      <c r="A2" t="s">
        <v>17</v>
      </c>
      <c r="B2" t="s">
        <v>18</v>
      </c>
      <c r="C2" t="s">
        <v>86</v>
      </c>
      <c r="D2" s="8">
        <v>60000</v>
      </c>
      <c r="E2" s="9">
        <v>1</v>
      </c>
      <c r="F2">
        <v>4</v>
      </c>
      <c r="G2" s="9">
        <v>100</v>
      </c>
      <c r="H2" s="9">
        <v>240000</v>
      </c>
      <c r="I2" s="3">
        <v>8000000</v>
      </c>
      <c r="J2" s="10">
        <v>33.333333333333336</v>
      </c>
      <c r="K2" s="8">
        <v>8760</v>
      </c>
      <c r="L2" s="9">
        <v>27.397260273972602</v>
      </c>
      <c r="M2" s="9">
        <v>28</v>
      </c>
      <c r="N2" s="9">
        <v>7</v>
      </c>
      <c r="O2" s="9">
        <v>7</v>
      </c>
      <c r="P2" s="3">
        <v>1820000</v>
      </c>
      <c r="Q2" s="3">
        <v>6180000</v>
      </c>
      <c r="R2" s="4">
        <v>0.2275</v>
      </c>
      <c r="S2" s="4">
        <v>3.3956043956043955</v>
      </c>
      <c r="T2" s="6">
        <v>0.4854368932038835</v>
      </c>
      <c r="U2" s="7">
        <v>3.65</v>
      </c>
    </row>
    <row r="3">
      <c r="A3" t="s">
        <v>24</v>
      </c>
      <c r="B3" t="s">
        <v>25</v>
      </c>
      <c r="C3" t="s">
        <v>86</v>
      </c>
      <c r="D3" s="8">
        <v>90000</v>
      </c>
      <c r="E3" s="9">
        <v>1</v>
      </c>
      <c r="F3">
        <v>4</v>
      </c>
      <c r="G3" s="9">
        <v>140</v>
      </c>
      <c r="H3" s="9">
        <v>336000</v>
      </c>
      <c r="I3" s="3">
        <v>11900000</v>
      </c>
      <c r="J3" s="10">
        <v>35.416666666666664</v>
      </c>
      <c r="K3" s="8">
        <v>8760</v>
      </c>
      <c r="L3" s="9">
        <v>38.35616438356164</v>
      </c>
      <c r="M3" s="9">
        <v>39</v>
      </c>
      <c r="N3" s="9">
        <v>9.75</v>
      </c>
      <c r="O3" s="9">
        <v>10</v>
      </c>
      <c r="P3" s="3">
        <v>2555000</v>
      </c>
      <c r="Q3" s="3">
        <v>9345000</v>
      </c>
      <c r="R3" s="4">
        <v>0.21470588235294116</v>
      </c>
      <c r="S3" s="4">
        <v>3.6575342465753424</v>
      </c>
      <c r="T3" s="6">
        <v>0.32102728731942215</v>
      </c>
      <c r="U3" s="7">
        <v>3.65</v>
      </c>
    </row>
    <row r="4">
      <c r="A4" t="s">
        <v>27</v>
      </c>
      <c r="B4" t="s">
        <v>28</v>
      </c>
      <c r="C4" t="s">
        <v>86</v>
      </c>
      <c r="D4" s="8">
        <v>125000</v>
      </c>
      <c r="E4" s="9">
        <v>1</v>
      </c>
      <c r="F4">
        <v>4</v>
      </c>
      <c r="G4" s="9">
        <v>180</v>
      </c>
      <c r="H4" s="9">
        <v>576000</v>
      </c>
      <c r="I4" s="3">
        <v>16200000</v>
      </c>
      <c r="J4" s="10">
        <v>28.125</v>
      </c>
      <c r="K4" s="8">
        <v>8760</v>
      </c>
      <c r="L4" s="9">
        <v>65.75342465753425</v>
      </c>
      <c r="M4" s="9">
        <v>66</v>
      </c>
      <c r="N4" s="9">
        <v>16.5</v>
      </c>
      <c r="O4" s="9">
        <v>17</v>
      </c>
      <c r="P4" s="3">
        <v>4330000</v>
      </c>
      <c r="Q4" s="3">
        <v>11870000</v>
      </c>
      <c r="R4" s="4">
        <v>0.26728395061728394</v>
      </c>
      <c r="S4" s="4">
        <v>2.741339491916859</v>
      </c>
      <c r="T4" s="6">
        <v>0.25273799494524013</v>
      </c>
      <c r="U4" s="7">
        <v>2.7375</v>
      </c>
    </row>
    <row r="5">
      <c r="A5" t="s">
        <v>31</v>
      </c>
      <c r="B5" t="s">
        <v>32</v>
      </c>
      <c r="C5" t="s">
        <v>86</v>
      </c>
      <c r="D5" s="8">
        <v>45000</v>
      </c>
      <c r="E5" s="9">
        <v>1</v>
      </c>
      <c r="F5">
        <v>4</v>
      </c>
      <c r="G5" s="9">
        <v>60</v>
      </c>
      <c r="H5" s="9">
        <v>144000</v>
      </c>
      <c r="I5" s="3">
        <v>4200000</v>
      </c>
      <c r="J5" s="10">
        <v>29.166666666666668</v>
      </c>
      <c r="K5" s="8">
        <v>8760</v>
      </c>
      <c r="L5" s="9">
        <v>16.438356164383563</v>
      </c>
      <c r="M5" s="9">
        <v>17</v>
      </c>
      <c r="N5" s="9">
        <v>4.25</v>
      </c>
      <c r="O5" s="9">
        <v>5</v>
      </c>
      <c r="P5" s="3">
        <v>1165000</v>
      </c>
      <c r="Q5" s="3">
        <v>3035000</v>
      </c>
      <c r="R5" s="4">
        <v>0.2773809523809524</v>
      </c>
      <c r="S5" s="4">
        <v>2.6051502145922747</v>
      </c>
      <c r="T5" s="6">
        <v>0.9884678747940693</v>
      </c>
      <c r="U5" s="7">
        <v>3.65</v>
      </c>
    </row>
    <row r="6">
      <c r="A6" t="s">
        <v>35</v>
      </c>
      <c r="B6" t="s">
        <v>36</v>
      </c>
      <c r="C6" t="s">
        <v>86</v>
      </c>
      <c r="D6" s="8">
        <v>220000</v>
      </c>
      <c r="E6" s="9">
        <v>1</v>
      </c>
      <c r="F6">
        <v>4</v>
      </c>
      <c r="G6" s="9">
        <v>320</v>
      </c>
      <c r="H6" s="9">
        <v>1267200</v>
      </c>
      <c r="I6" s="3">
        <v>30400000</v>
      </c>
      <c r="J6" s="10">
        <v>23.98989898989899</v>
      </c>
      <c r="K6" s="8">
        <v>8760</v>
      </c>
      <c r="L6" s="9">
        <v>144.65753424657535</v>
      </c>
      <c r="M6" s="9">
        <v>145</v>
      </c>
      <c r="N6" s="9">
        <v>36.25</v>
      </c>
      <c r="O6" s="9">
        <v>37</v>
      </c>
      <c r="P6" s="3">
        <v>9485000</v>
      </c>
      <c r="Q6" s="3">
        <v>20915000</v>
      </c>
      <c r="R6" s="4">
        <v>0.31200657894736844</v>
      </c>
      <c r="S6" s="4">
        <v>2.2050606220347917</v>
      </c>
      <c r="T6" s="6">
        <v>0.14343772412144393</v>
      </c>
      <c r="U6" s="7">
        <v>2.212121212121212</v>
      </c>
    </row>
    <row r="7">
      <c r="A7" t="s">
        <v>39</v>
      </c>
      <c r="B7" t="s">
        <v>40</v>
      </c>
      <c r="C7" t="s">
        <v>86</v>
      </c>
      <c r="D7" s="8">
        <v>80000</v>
      </c>
      <c r="E7" s="9">
        <v>1</v>
      </c>
      <c r="F7">
        <v>4</v>
      </c>
      <c r="G7" s="9">
        <v>90</v>
      </c>
      <c r="H7" s="9">
        <v>223200</v>
      </c>
      <c r="I7" s="3">
        <v>7380000</v>
      </c>
      <c r="J7" s="10">
        <v>33.064516129032256</v>
      </c>
      <c r="K7" s="8">
        <v>8760</v>
      </c>
      <c r="L7" s="9">
        <v>25.47945205479452</v>
      </c>
      <c r="M7" s="9">
        <v>26</v>
      </c>
      <c r="N7" s="9">
        <v>6.5</v>
      </c>
      <c r="O7" s="9">
        <v>7</v>
      </c>
      <c r="P7" s="3">
        <v>1730000</v>
      </c>
      <c r="Q7" s="3">
        <v>5650000</v>
      </c>
      <c r="R7" s="4">
        <v>0.23441734417344173</v>
      </c>
      <c r="S7" s="4">
        <v>3.2658959537572256</v>
      </c>
      <c r="T7" s="6">
        <v>0.5309734513274337</v>
      </c>
      <c r="U7" s="7">
        <v>3.532258064516129</v>
      </c>
    </row>
    <row r="8">
      <c r="A8" t="s">
        <v>42</v>
      </c>
      <c r="B8" t="s">
        <v>43</v>
      </c>
      <c r="C8" t="s">
        <v>86</v>
      </c>
      <c r="D8" s="8">
        <v>70000</v>
      </c>
      <c r="E8" s="9">
        <v>1</v>
      </c>
      <c r="F8">
        <v>4</v>
      </c>
      <c r="G8" s="9">
        <v>85</v>
      </c>
      <c r="H8" s="9">
        <v>204000</v>
      </c>
      <c r="I8" s="3">
        <v>5525000</v>
      </c>
      <c r="J8" s="10">
        <v>27.083333333333332</v>
      </c>
      <c r="K8" s="8">
        <v>8760</v>
      </c>
      <c r="L8" s="9">
        <v>23.28767123287671</v>
      </c>
      <c r="M8" s="9">
        <v>24</v>
      </c>
      <c r="N8" s="9">
        <v>6</v>
      </c>
      <c r="O8" s="9">
        <v>6</v>
      </c>
      <c r="P8" s="3">
        <v>1560000</v>
      </c>
      <c r="Q8" s="3">
        <v>3965000</v>
      </c>
      <c r="R8" s="4">
        <v>0.2823529411764706</v>
      </c>
      <c r="S8" s="4">
        <v>2.5416666666666665</v>
      </c>
      <c r="T8" s="6">
        <v>0.7566204287515762</v>
      </c>
      <c r="U8" s="7">
        <v>3.65</v>
      </c>
    </row>
    <row r="9">
      <c r="A9" t="s">
        <v>47</v>
      </c>
      <c r="B9" t="s">
        <v>48</v>
      </c>
      <c r="C9" t="s">
        <v>86</v>
      </c>
      <c r="D9" s="8">
        <v>180000</v>
      </c>
      <c r="E9" s="9">
        <v>1</v>
      </c>
      <c r="F9">
        <v>4</v>
      </c>
      <c r="G9" s="9">
        <v>260</v>
      </c>
      <c r="H9" s="9">
        <v>1029600</v>
      </c>
      <c r="I9" s="3">
        <v>23400000</v>
      </c>
      <c r="J9" s="10">
        <v>22.727272727272727</v>
      </c>
      <c r="K9" s="8">
        <v>8760</v>
      </c>
      <c r="L9" s="9">
        <v>117.53424657534246</v>
      </c>
      <c r="M9" s="9">
        <v>118</v>
      </c>
      <c r="N9" s="9">
        <v>29.5</v>
      </c>
      <c r="O9" s="9">
        <v>30</v>
      </c>
      <c r="P9" s="3">
        <v>7710000</v>
      </c>
      <c r="Q9" s="3">
        <v>15690000</v>
      </c>
      <c r="R9" s="4">
        <v>0.3294871794871795</v>
      </c>
      <c r="S9" s="4">
        <v>2.035019455252918</v>
      </c>
      <c r="T9" s="6">
        <v>0.19120458891013384</v>
      </c>
      <c r="U9" s="7">
        <v>2.212121212121212</v>
      </c>
    </row>
    <row r="10">
      <c r="A10" t="s">
        <v>51</v>
      </c>
      <c r="B10" t="s">
        <v>52</v>
      </c>
      <c r="C10" t="s">
        <v>86</v>
      </c>
      <c r="D10" s="8">
        <v>95000</v>
      </c>
      <c r="E10" s="9">
        <v>1</v>
      </c>
      <c r="F10">
        <v>5.5</v>
      </c>
      <c r="G10" s="9">
        <v>130</v>
      </c>
      <c r="H10" s="9">
        <v>312000</v>
      </c>
      <c r="I10" s="3">
        <v>9880000</v>
      </c>
      <c r="J10" s="10">
        <v>31.666666666666668</v>
      </c>
      <c r="K10" s="8">
        <v>8760</v>
      </c>
      <c r="L10" s="9">
        <v>27.397260273972602</v>
      </c>
      <c r="M10" s="9">
        <v>28</v>
      </c>
      <c r="N10" s="9">
        <v>5.090909090909091</v>
      </c>
      <c r="O10" s="9">
        <v>6</v>
      </c>
      <c r="P10" s="3">
        <v>1740000</v>
      </c>
      <c r="Q10" s="3">
        <v>8140000</v>
      </c>
      <c r="R10" s="4">
        <v>0.17611336032388664</v>
      </c>
      <c r="S10" s="4">
        <v>4.67816091954023</v>
      </c>
      <c r="T10" s="6">
        <v>0.36855036855036855</v>
      </c>
      <c r="U10" s="7">
        <v>3.65</v>
      </c>
    </row>
    <row r="11">
      <c r="A11" t="s">
        <v>55</v>
      </c>
      <c r="B11" t="s">
        <v>56</v>
      </c>
      <c r="C11" t="s">
        <v>86</v>
      </c>
      <c r="D11" s="8">
        <v>150000</v>
      </c>
      <c r="E11" s="9">
        <v>1</v>
      </c>
      <c r="F11">
        <v>4</v>
      </c>
      <c r="G11" s="9">
        <v>220</v>
      </c>
      <c r="H11" s="9">
        <v>704000</v>
      </c>
      <c r="I11" s="3">
        <v>17160000</v>
      </c>
      <c r="J11" s="10">
        <v>24.375</v>
      </c>
      <c r="K11" s="8">
        <v>8760</v>
      </c>
      <c r="L11" s="9">
        <v>80.36529680365297</v>
      </c>
      <c r="M11" s="9">
        <v>81</v>
      </c>
      <c r="N11" s="9">
        <v>20.25</v>
      </c>
      <c r="O11" s="9">
        <v>21</v>
      </c>
      <c r="P11" s="3">
        <v>5325000</v>
      </c>
      <c r="Q11" s="3">
        <v>11835000</v>
      </c>
      <c r="R11" s="4">
        <v>0.3103146853146853</v>
      </c>
      <c r="S11" s="4">
        <v>2.222535211267606</v>
      </c>
      <c r="T11" s="6">
        <v>0.2534854245880862</v>
      </c>
      <c r="U11" s="7">
        <v>2.7375</v>
      </c>
    </row>
    <row r="12">
      <c r="A12" t="s">
        <v>58</v>
      </c>
      <c r="B12" t="s">
        <v>59</v>
      </c>
      <c r="C12" t="s">
        <v>86</v>
      </c>
      <c r="D12" s="8">
        <v>4000</v>
      </c>
      <c r="E12" s="9">
        <v>1</v>
      </c>
      <c r="F12">
        <v>4</v>
      </c>
      <c r="G12" s="9">
        <v>2</v>
      </c>
      <c r="H12" s="9">
        <v>4160</v>
      </c>
      <c r="I12" s="3">
        <v>90000</v>
      </c>
      <c r="J12" s="10">
        <v>21.634615384615383</v>
      </c>
      <c r="K12" s="8">
        <v>8760</v>
      </c>
      <c r="L12" s="9">
        <v>0.4748858447488584</v>
      </c>
      <c r="M12" s="9">
        <v>1</v>
      </c>
      <c r="N12" s="9">
        <v>0.25</v>
      </c>
      <c r="O12" s="9">
        <v>1</v>
      </c>
      <c r="P12" s="3">
        <v>125000</v>
      </c>
      <c r="Q12" s="3">
        <v>-35000</v>
      </c>
      <c r="R12" s="4">
        <v>1.3888888888888888</v>
      </c>
      <c r="S12" s="4">
        <v>-0.28</v>
      </c>
      <c r="T12" s="6"/>
      <c r="U12" s="7">
        <v>4.211538461538462</v>
      </c>
    </row>
    <row r="13">
      <c r="A13" t="s">
        <v>63</v>
      </c>
      <c r="B13" t="s">
        <v>64</v>
      </c>
      <c r="C13" t="s">
        <v>87</v>
      </c>
      <c r="D13" s="8"/>
      <c r="E13" s="9"/>
      <c r="G13" s="9"/>
      <c r="H13" s="9"/>
      <c r="I13" s="3"/>
      <c r="J13" s="10"/>
      <c r="K13" s="8"/>
      <c r="L13" s="9"/>
      <c r="M13" s="9"/>
      <c r="N13" s="9"/>
      <c r="O13" s="9"/>
      <c r="P13" s="3"/>
      <c r="Q13" s="3"/>
      <c r="R13" s="4"/>
      <c r="S13" s="4"/>
      <c r="T13" s="6"/>
      <c r="U13" s="7"/>
    </row>
    <row r="14">
      <c r="A14" t="s">
        <v>88</v>
      </c>
      <c r="D14" s="8"/>
      <c r="E14" s="9"/>
      <c r="G14" s="9"/>
      <c r="H14" s="9"/>
      <c r="I14" s="3"/>
      <c r="J14" s="10"/>
      <c r="K14" s="8"/>
      <c r="L14" s="9"/>
      <c r="M14" s="9"/>
      <c r="N14" s="9"/>
      <c r="O14" s="9"/>
      <c r="P14" s="3"/>
      <c r="Q14" s="3"/>
      <c r="R14" s="4"/>
      <c r="S14" s="4"/>
      <c r="T14" s="6"/>
      <c r="U14" s="7"/>
    </row>
    <row r="15">
      <c r="A15" t="s">
        <v>17</v>
      </c>
      <c r="B15" t="s">
        <v>18</v>
      </c>
      <c r="C15" t="s">
        <v>89</v>
      </c>
      <c r="D15" s="8">
        <v>120000</v>
      </c>
      <c r="E15" s="9">
        <v>2</v>
      </c>
      <c r="F15">
        <v>6</v>
      </c>
      <c r="G15" s="9">
        <v>200</v>
      </c>
      <c r="H15" s="9">
        <v>480000</v>
      </c>
      <c r="I15" s="3">
        <v>16000000</v>
      </c>
      <c r="J15" s="10">
        <v>33.333333333333336</v>
      </c>
      <c r="K15" s="8">
        <v>8760</v>
      </c>
      <c r="L15" s="9">
        <v>54.794520547945204</v>
      </c>
      <c r="M15" s="9">
        <v>55</v>
      </c>
      <c r="N15" s="9">
        <v>9.166666666666666</v>
      </c>
      <c r="O15" s="9">
        <v>10</v>
      </c>
      <c r="P15" s="3">
        <v>3275000</v>
      </c>
      <c r="Q15" s="3">
        <v>12725000</v>
      </c>
      <c r="R15" s="4">
        <v>0.2046875</v>
      </c>
      <c r="S15" s="4">
        <v>3.885496183206107</v>
      </c>
      <c r="T15" s="6">
        <v>0.23575638506876226</v>
      </c>
      <c r="U15" s="7">
        <v>3.65</v>
      </c>
    </row>
    <row r="16">
      <c r="A16" t="s">
        <v>24</v>
      </c>
      <c r="B16" t="s">
        <v>25</v>
      </c>
      <c r="C16" t="s">
        <v>89</v>
      </c>
      <c r="D16" s="8">
        <v>180000</v>
      </c>
      <c r="E16" s="9">
        <v>2</v>
      </c>
      <c r="F16">
        <v>6</v>
      </c>
      <c r="G16" s="9">
        <v>280</v>
      </c>
      <c r="H16" s="9">
        <v>672000</v>
      </c>
      <c r="I16" s="3">
        <v>23800000</v>
      </c>
      <c r="J16" s="10">
        <v>35.416666666666664</v>
      </c>
      <c r="K16" s="8">
        <v>8760</v>
      </c>
      <c r="L16" s="9">
        <v>76.71232876712328</v>
      </c>
      <c r="M16" s="9">
        <v>77</v>
      </c>
      <c r="N16" s="9">
        <v>12.833333333333334</v>
      </c>
      <c r="O16" s="9">
        <v>13</v>
      </c>
      <c r="P16" s="3">
        <v>4505000</v>
      </c>
      <c r="Q16" s="3">
        <v>19295000</v>
      </c>
      <c r="R16" s="4">
        <v>0.18928571428571428</v>
      </c>
      <c r="S16" s="4">
        <v>4.283018867924528</v>
      </c>
      <c r="T16" s="6">
        <v>0.15548069448043533</v>
      </c>
      <c r="U16" s="7">
        <v>3.65</v>
      </c>
    </row>
    <row r="17">
      <c r="A17" t="s">
        <v>27</v>
      </c>
      <c r="B17" t="s">
        <v>28</v>
      </c>
      <c r="C17" t="s">
        <v>89</v>
      </c>
      <c r="D17" s="8">
        <v>250000</v>
      </c>
      <c r="E17" s="9">
        <v>2</v>
      </c>
      <c r="F17">
        <v>6</v>
      </c>
      <c r="G17" s="9">
        <v>360</v>
      </c>
      <c r="H17" s="9">
        <v>1152000</v>
      </c>
      <c r="I17" s="3">
        <v>32400000</v>
      </c>
      <c r="J17" s="10">
        <v>28.125</v>
      </c>
      <c r="K17" s="8">
        <v>8760</v>
      </c>
      <c r="L17" s="9">
        <v>131.5068493150685</v>
      </c>
      <c r="M17" s="9">
        <v>132</v>
      </c>
      <c r="N17" s="9">
        <v>22</v>
      </c>
      <c r="O17" s="9">
        <v>22</v>
      </c>
      <c r="P17" s="3">
        <v>7700000</v>
      </c>
      <c r="Q17" s="3">
        <v>24700000</v>
      </c>
      <c r="R17" s="4">
        <v>0.23765432098765432</v>
      </c>
      <c r="S17" s="4">
        <v>3.207792207792208</v>
      </c>
      <c r="T17" s="6">
        <v>0.12145748987854252</v>
      </c>
      <c r="U17" s="7">
        <v>2.7375</v>
      </c>
    </row>
    <row r="18">
      <c r="A18" t="s">
        <v>31</v>
      </c>
      <c r="B18" t="s">
        <v>32</v>
      </c>
      <c r="C18" t="s">
        <v>89</v>
      </c>
      <c r="D18" s="8">
        <v>90000</v>
      </c>
      <c r="E18" s="9">
        <v>2</v>
      </c>
      <c r="F18">
        <v>6</v>
      </c>
      <c r="G18" s="9">
        <v>120</v>
      </c>
      <c r="H18" s="9">
        <v>288000</v>
      </c>
      <c r="I18" s="3">
        <v>8400000</v>
      </c>
      <c r="J18" s="10">
        <v>29.166666666666668</v>
      </c>
      <c r="K18" s="8">
        <v>8760</v>
      </c>
      <c r="L18" s="9">
        <v>32.87671232876713</v>
      </c>
      <c r="M18" s="9">
        <v>33</v>
      </c>
      <c r="N18" s="9">
        <v>5.5</v>
      </c>
      <c r="O18" s="9">
        <v>6</v>
      </c>
      <c r="P18" s="3">
        <v>1965000</v>
      </c>
      <c r="Q18" s="3">
        <v>6435000</v>
      </c>
      <c r="R18" s="4">
        <v>0.23392857142857143</v>
      </c>
      <c r="S18" s="4">
        <v>3.2748091603053435</v>
      </c>
      <c r="T18" s="6">
        <v>0.4662004662004662</v>
      </c>
      <c r="U18" s="7">
        <v>3.65</v>
      </c>
    </row>
    <row r="19">
      <c r="A19" t="s">
        <v>35</v>
      </c>
      <c r="B19" t="s">
        <v>36</v>
      </c>
      <c r="C19" t="s">
        <v>89</v>
      </c>
      <c r="D19" s="8">
        <v>450000</v>
      </c>
      <c r="E19" s="9">
        <v>2.0454545454545454</v>
      </c>
      <c r="F19">
        <v>6</v>
      </c>
      <c r="G19" s="9">
        <v>654.5454545454545</v>
      </c>
      <c r="H19" s="9">
        <v>2592000</v>
      </c>
      <c r="I19" s="3">
        <v>62181818.18181818</v>
      </c>
      <c r="J19" s="10">
        <v>23.98989898989899</v>
      </c>
      <c r="K19" s="8">
        <v>8760</v>
      </c>
      <c r="L19" s="9">
        <v>295.8904109589041</v>
      </c>
      <c r="M19" s="9">
        <v>296</v>
      </c>
      <c r="N19" s="9">
        <v>49.333333333333336</v>
      </c>
      <c r="O19" s="9">
        <v>50</v>
      </c>
      <c r="P19" s="3">
        <v>17320000</v>
      </c>
      <c r="Q19" s="3">
        <v>44861818.18181818</v>
      </c>
      <c r="R19" s="4">
        <v>0.2785380116959064</v>
      </c>
      <c r="S19" s="4">
        <v>2.5901742599202184</v>
      </c>
      <c r="T19" s="6">
        <v>0.0668720110237497</v>
      </c>
      <c r="U19" s="7">
        <v>2.212121212121212</v>
      </c>
    </row>
    <row r="20">
      <c r="A20" t="s">
        <v>39</v>
      </c>
      <c r="B20" t="s">
        <v>40</v>
      </c>
      <c r="C20" t="s">
        <v>89</v>
      </c>
      <c r="D20" s="8">
        <v>150000</v>
      </c>
      <c r="E20" s="9">
        <v>1.875</v>
      </c>
      <c r="F20">
        <v>6</v>
      </c>
      <c r="G20" s="9">
        <v>168.75</v>
      </c>
      <c r="H20" s="9">
        <v>418500</v>
      </c>
      <c r="I20" s="3">
        <v>13837500</v>
      </c>
      <c r="J20" s="10">
        <v>33.064516129032256</v>
      </c>
      <c r="K20" s="8">
        <v>8760</v>
      </c>
      <c r="L20" s="9">
        <v>47.773972602739725</v>
      </c>
      <c r="M20" s="9">
        <v>48</v>
      </c>
      <c r="N20" s="9">
        <v>8</v>
      </c>
      <c r="O20" s="9">
        <v>8</v>
      </c>
      <c r="P20" s="3">
        <v>2800000</v>
      </c>
      <c r="Q20" s="3">
        <v>11037500</v>
      </c>
      <c r="R20" s="4">
        <v>0.2023486901535682</v>
      </c>
      <c r="S20" s="4">
        <v>3.9419642857142856</v>
      </c>
      <c r="T20" s="6">
        <v>0.2718006795016988</v>
      </c>
      <c r="U20" s="7">
        <v>3.532258064516129</v>
      </c>
    </row>
    <row r="21">
      <c r="A21" t="s">
        <v>42</v>
      </c>
      <c r="B21" t="s">
        <v>43</v>
      </c>
      <c r="C21" t="s">
        <v>89</v>
      </c>
      <c r="D21" s="8">
        <v>140000</v>
      </c>
      <c r="E21" s="9">
        <v>2</v>
      </c>
      <c r="F21">
        <v>6</v>
      </c>
      <c r="G21" s="9">
        <v>170</v>
      </c>
      <c r="H21" s="9">
        <v>408000</v>
      </c>
      <c r="I21" s="3">
        <v>11050000</v>
      </c>
      <c r="J21" s="10">
        <v>27.083333333333332</v>
      </c>
      <c r="K21" s="8">
        <v>8760</v>
      </c>
      <c r="L21" s="9">
        <v>46.57534246575342</v>
      </c>
      <c r="M21" s="9">
        <v>47</v>
      </c>
      <c r="N21" s="9">
        <v>7.833333333333333</v>
      </c>
      <c r="O21" s="9">
        <v>8</v>
      </c>
      <c r="P21" s="3">
        <v>2755000</v>
      </c>
      <c r="Q21" s="3">
        <v>8295000</v>
      </c>
      <c r="R21" s="4">
        <v>0.2493212669683258</v>
      </c>
      <c r="S21" s="4">
        <v>3.010889292196007</v>
      </c>
      <c r="T21" s="6">
        <v>0.3616636528028933</v>
      </c>
      <c r="U21" s="7">
        <v>3.65</v>
      </c>
    </row>
    <row r="22">
      <c r="A22" t="s">
        <v>47</v>
      </c>
      <c r="B22" t="s">
        <v>48</v>
      </c>
      <c r="C22" t="s">
        <v>89</v>
      </c>
      <c r="D22" s="8">
        <v>350000</v>
      </c>
      <c r="E22" s="9">
        <v>1.9444444444444444</v>
      </c>
      <c r="F22">
        <v>6</v>
      </c>
      <c r="G22" s="9">
        <v>505.55555555555554</v>
      </c>
      <c r="H22" s="9">
        <v>2001999.9999999998</v>
      </c>
      <c r="I22" s="3">
        <v>45500000</v>
      </c>
      <c r="J22" s="10">
        <v>22.727272727272727</v>
      </c>
      <c r="K22" s="8">
        <v>8760</v>
      </c>
      <c r="L22" s="9">
        <v>228.5388127853881</v>
      </c>
      <c r="M22" s="9">
        <v>229</v>
      </c>
      <c r="N22" s="9">
        <v>38.166666666666664</v>
      </c>
      <c r="O22" s="9">
        <v>39</v>
      </c>
      <c r="P22" s="3">
        <v>13425000</v>
      </c>
      <c r="Q22" s="3">
        <v>32075000</v>
      </c>
      <c r="R22" s="4">
        <v>0.29505494505494506</v>
      </c>
      <c r="S22" s="4">
        <v>2.389199255121043</v>
      </c>
      <c r="T22" s="6">
        <v>0.09353078721745908</v>
      </c>
      <c r="U22" s="7">
        <v>2.212121212121212</v>
      </c>
    </row>
    <row r="23">
      <c r="A23" t="s">
        <v>51</v>
      </c>
      <c r="B23" t="s">
        <v>52</v>
      </c>
      <c r="C23" t="s">
        <v>89</v>
      </c>
      <c r="D23" s="8">
        <v>180000</v>
      </c>
      <c r="E23" s="9">
        <v>1.894736842105263</v>
      </c>
      <c r="F23">
        <v>6</v>
      </c>
      <c r="G23" s="9">
        <v>246.3157894736842</v>
      </c>
      <c r="H23" s="9">
        <v>591157.894736842</v>
      </c>
      <c r="I23" s="3">
        <v>18720000</v>
      </c>
      <c r="J23" s="10">
        <v>31.666666666666668</v>
      </c>
      <c r="K23" s="8">
        <v>8760</v>
      </c>
      <c r="L23" s="9">
        <v>51.91059841384282</v>
      </c>
      <c r="M23" s="9">
        <v>52</v>
      </c>
      <c r="N23" s="9">
        <v>8.666666666666666</v>
      </c>
      <c r="O23" s="9">
        <v>9</v>
      </c>
      <c r="P23" s="3">
        <v>3060000</v>
      </c>
      <c r="Q23" s="3">
        <v>15660000</v>
      </c>
      <c r="R23" s="4">
        <v>0.16346153846153846</v>
      </c>
      <c r="S23" s="4">
        <v>5.117647058823529</v>
      </c>
      <c r="T23" s="6">
        <v>0.19157088122605365</v>
      </c>
      <c r="U23" s="7">
        <v>3.65</v>
      </c>
    </row>
    <row r="24">
      <c r="A24" t="s">
        <v>55</v>
      </c>
      <c r="B24" t="s">
        <v>56</v>
      </c>
      <c r="C24" t="s">
        <v>89</v>
      </c>
      <c r="D24" s="8">
        <v>300000</v>
      </c>
      <c r="E24" s="9">
        <v>2</v>
      </c>
      <c r="F24">
        <v>6</v>
      </c>
      <c r="G24" s="9">
        <v>440</v>
      </c>
      <c r="H24" s="9">
        <v>1408000</v>
      </c>
      <c r="I24" s="3">
        <v>34320000</v>
      </c>
      <c r="J24" s="10">
        <v>24.375</v>
      </c>
      <c r="K24" s="8">
        <v>8760</v>
      </c>
      <c r="L24" s="9">
        <v>160.73059360730593</v>
      </c>
      <c r="M24" s="9">
        <v>161</v>
      </c>
      <c r="N24" s="9">
        <v>26.833333333333332</v>
      </c>
      <c r="O24" s="9">
        <v>27</v>
      </c>
      <c r="P24" s="3">
        <v>9405000</v>
      </c>
      <c r="Q24" s="3">
        <v>24915000</v>
      </c>
      <c r="R24" s="4">
        <v>0.27403846153846156</v>
      </c>
      <c r="S24" s="4">
        <v>2.6491228070175437</v>
      </c>
      <c r="T24" s="6">
        <v>0.12040939193257075</v>
      </c>
      <c r="U24" s="7">
        <v>2.7375</v>
      </c>
    </row>
    <row r="25">
      <c r="A25" t="s">
        <v>58</v>
      </c>
      <c r="B25" t="s">
        <v>59</v>
      </c>
      <c r="C25" t="s">
        <v>89</v>
      </c>
      <c r="D25" s="8">
        <v>6000</v>
      </c>
      <c r="E25" s="9">
        <v>1.5</v>
      </c>
      <c r="F25">
        <v>6</v>
      </c>
      <c r="G25" s="9">
        <v>3</v>
      </c>
      <c r="H25" s="9">
        <v>6240</v>
      </c>
      <c r="I25" s="3">
        <v>135000</v>
      </c>
      <c r="J25" s="10">
        <v>21.634615384615383</v>
      </c>
      <c r="K25" s="8">
        <v>8760</v>
      </c>
      <c r="L25" s="9">
        <v>0.7123287671232876</v>
      </c>
      <c r="M25" s="9">
        <v>1</v>
      </c>
      <c r="N25" s="9">
        <v>0.16666666666666666</v>
      </c>
      <c r="O25" s="9">
        <v>1</v>
      </c>
      <c r="P25" s="3">
        <v>125000</v>
      </c>
      <c r="Q25" s="3">
        <v>10000</v>
      </c>
      <c r="R25" s="4">
        <v>0.9259259259259259</v>
      </c>
      <c r="S25" s="4">
        <v>0.08</v>
      </c>
      <c r="T25" s="6">
        <v>300</v>
      </c>
      <c r="U25" s="7">
        <v>4.211538461538462</v>
      </c>
    </row>
    <row r="26">
      <c r="A26" t="s">
        <v>63</v>
      </c>
      <c r="B26" t="s">
        <v>64</v>
      </c>
      <c r="C26" t="s">
        <v>90</v>
      </c>
      <c r="D26" s="8"/>
      <c r="E26" s="9"/>
      <c r="G26" s="9"/>
      <c r="H26" s="9"/>
      <c r="I26" s="3"/>
      <c r="J26" s="10"/>
      <c r="K26" s="8"/>
      <c r="L26" s="9"/>
      <c r="M26" s="9"/>
      <c r="N26" s="9"/>
      <c r="O26" s="9"/>
      <c r="P26" s="3"/>
      <c r="Q26" s="3"/>
      <c r="R26" s="4"/>
      <c r="S26" s="4"/>
      <c r="T26" s="6"/>
      <c r="U26" s="7"/>
    </row>
  </sheetData>
</worksheet>
</file>

<file path=xl/worksheets/sheet3.xml><?xml version="1.0" encoding="utf-8"?>
<worksheet xmlns="http://schemas.openxmlformats.org/spreadsheetml/2006/main" xmlns:r="http://schemas.openxmlformats.org/officeDocument/2006/relationships">
  <dimension ref="A1:H343"/>
  <sheetViews>
    <sheetView workbookViewId="0">
      <pane ySplit="1" topLeftCell="A2" activePane="bottomLeft" state="frozen"/>
    </sheetView>
  </sheetViews>
  <sheetFormatPr defaultRowHeight="15"/>
  <cols>
    <col min="1" max="1" width="16" customWidth="1"/>
    <col min="2" max="2" width="17" customWidth="1"/>
    <col min="3" max="3" width="37" customWidth="1"/>
    <col min="4" max="4" width="52" customWidth="1"/>
    <col min="5" max="5" width="52" customWidth="1"/>
    <col min="6" max="6" width="21" customWidth="1"/>
    <col min="7" max="7" width="52" customWidth="1"/>
    <col min="8" max="8" width="21" customWidth="1"/>
  </cols>
  <sheetData>
    <row r="1">
      <c r="A1" s="2" t="s">
        <v>0</v>
      </c>
      <c r="B1" s="2" t="s">
        <v>1</v>
      </c>
      <c r="C1" s="2" t="s">
        <v>91</v>
      </c>
      <c r="D1" s="2" t="s">
        <v>92</v>
      </c>
      <c r="E1" s="2" t="s">
        <v>93</v>
      </c>
      <c r="F1" s="2" t="s">
        <v>94</v>
      </c>
      <c r="G1" s="2" t="s">
        <v>95</v>
      </c>
      <c r="H1" s="2" t="s">
        <v>96</v>
      </c>
    </row>
    <row r="2">
      <c r="A2" t="s">
        <v>17</v>
      </c>
      <c r="B2" t="s">
        <v>18</v>
      </c>
      <c r="C2" t="s">
        <v>97</v>
      </c>
      <c r="D2" t="s">
        <v>98</v>
      </c>
      <c r="E2" t="s">
        <v>99</v>
      </c>
      <c r="F2">
        <v>60000</v>
      </c>
      <c r="G2" t="s">
        <v>100</v>
      </c>
      <c r="H2">
        <v>120000</v>
      </c>
    </row>
    <row r="3">
      <c r="A3" t="s">
        <v>17</v>
      </c>
      <c r="B3" t="s">
        <v>18</v>
      </c>
      <c r="C3" t="s">
        <v>70</v>
      </c>
      <c r="D3" t="s">
        <v>101</v>
      </c>
      <c r="E3" t="s">
        <v>102</v>
      </c>
      <c r="F3">
        <v>1</v>
      </c>
      <c r="G3" t="s">
        <v>103</v>
      </c>
      <c r="H3">
        <v>2</v>
      </c>
    </row>
    <row r="4">
      <c r="A4" t="s">
        <v>17</v>
      </c>
      <c r="B4" t="s">
        <v>18</v>
      </c>
      <c r="C4" t="s">
        <v>72</v>
      </c>
      <c r="D4" t="s">
        <v>104</v>
      </c>
      <c r="E4" t="s">
        <v>105</v>
      </c>
      <c r="F4">
        <v>100</v>
      </c>
      <c r="G4" t="s">
        <v>106</v>
      </c>
      <c r="H4">
        <v>200</v>
      </c>
    </row>
    <row r="5">
      <c r="A5" t="s">
        <v>17</v>
      </c>
      <c r="B5" t="s">
        <v>18</v>
      </c>
      <c r="C5" t="s">
        <v>107</v>
      </c>
      <c r="D5" t="s">
        <v>108</v>
      </c>
      <c r="E5" t="s">
        <v>109</v>
      </c>
      <c r="F5">
        <v>240000</v>
      </c>
      <c r="G5" t="s">
        <v>110</v>
      </c>
      <c r="H5">
        <v>480000</v>
      </c>
    </row>
    <row r="6">
      <c r="A6" t="s">
        <v>17</v>
      </c>
      <c r="B6" t="s">
        <v>18</v>
      </c>
      <c r="C6" t="s">
        <v>111</v>
      </c>
      <c r="D6" t="s">
        <v>112</v>
      </c>
      <c r="E6" t="s">
        <v>113</v>
      </c>
      <c r="F6">
        <v>8000000</v>
      </c>
      <c r="G6" t="s">
        <v>114</v>
      </c>
      <c r="H6">
        <v>16000000</v>
      </c>
    </row>
    <row r="7">
      <c r="A7" t="s">
        <v>17</v>
      </c>
      <c r="B7" t="s">
        <v>18</v>
      </c>
      <c r="C7" t="s">
        <v>115</v>
      </c>
      <c r="D7" t="s">
        <v>116</v>
      </c>
      <c r="E7" t="s">
        <v>117</v>
      </c>
      <c r="F7">
        <v>33.333333333333336</v>
      </c>
      <c r="G7" t="s">
        <v>117</v>
      </c>
      <c r="H7">
        <v>33.333333333333336</v>
      </c>
    </row>
    <row r="8">
      <c r="A8" t="s">
        <v>17</v>
      </c>
      <c r="B8" t="s">
        <v>18</v>
      </c>
      <c r="C8" t="s">
        <v>118</v>
      </c>
      <c r="D8" t="s">
        <v>119</v>
      </c>
      <c r="E8" t="s">
        <v>120</v>
      </c>
      <c r="F8">
        <v>8760</v>
      </c>
      <c r="G8" t="s">
        <v>120</v>
      </c>
      <c r="H8">
        <v>8760</v>
      </c>
    </row>
    <row r="9">
      <c r="A9" t="s">
        <v>17</v>
      </c>
      <c r="B9" t="s">
        <v>18</v>
      </c>
      <c r="C9" t="s">
        <v>121</v>
      </c>
      <c r="D9" t="s">
        <v>122</v>
      </c>
      <c r="E9" t="s">
        <v>123</v>
      </c>
      <c r="F9">
        <v>27.397260273972602</v>
      </c>
      <c r="G9" t="s">
        <v>124</v>
      </c>
      <c r="H9">
        <v>54.794520547945204</v>
      </c>
    </row>
    <row r="10">
      <c r="A10" t="s">
        <v>17</v>
      </c>
      <c r="B10" t="s">
        <v>18</v>
      </c>
      <c r="C10" t="s">
        <v>125</v>
      </c>
      <c r="D10" t="s">
        <v>126</v>
      </c>
      <c r="E10" t="s">
        <v>127</v>
      </c>
      <c r="F10">
        <v>28</v>
      </c>
      <c r="G10" t="s">
        <v>128</v>
      </c>
      <c r="H10">
        <v>55</v>
      </c>
    </row>
    <row r="11">
      <c r="A11" t="s">
        <v>17</v>
      </c>
      <c r="B11" t="s">
        <v>18</v>
      </c>
      <c r="C11" t="s">
        <v>129</v>
      </c>
      <c r="D11" t="s">
        <v>130</v>
      </c>
      <c r="E11" t="s">
        <v>131</v>
      </c>
      <c r="F11">
        <v>7</v>
      </c>
      <c r="G11" t="s">
        <v>132</v>
      </c>
      <c r="H11">
        <v>9.166666666666666</v>
      </c>
    </row>
    <row r="12">
      <c r="A12" t="s">
        <v>17</v>
      </c>
      <c r="B12" t="s">
        <v>18</v>
      </c>
      <c r="C12" t="s">
        <v>133</v>
      </c>
      <c r="D12" t="s">
        <v>134</v>
      </c>
      <c r="E12" t="s">
        <v>135</v>
      </c>
      <c r="F12">
        <v>7</v>
      </c>
      <c r="G12" t="s">
        <v>136</v>
      </c>
      <c r="H12">
        <v>10</v>
      </c>
    </row>
    <row r="13">
      <c r="A13" t="s">
        <v>17</v>
      </c>
      <c r="B13" t="s">
        <v>18</v>
      </c>
      <c r="C13" t="s">
        <v>137</v>
      </c>
      <c r="D13" t="s">
        <v>138</v>
      </c>
      <c r="E13" t="s">
        <v>139</v>
      </c>
      <c r="F13">
        <v>1820000</v>
      </c>
      <c r="G13" t="s">
        <v>140</v>
      </c>
      <c r="H13">
        <v>3275000</v>
      </c>
    </row>
    <row r="14">
      <c r="A14" t="s">
        <v>17</v>
      </c>
      <c r="B14" t="s">
        <v>18</v>
      </c>
      <c r="C14" t="s">
        <v>82</v>
      </c>
      <c r="D14" t="s">
        <v>141</v>
      </c>
      <c r="E14" t="s">
        <v>142</v>
      </c>
      <c r="F14">
        <v>6180000</v>
      </c>
      <c r="G14" t="s">
        <v>143</v>
      </c>
      <c r="H14">
        <v>12725000</v>
      </c>
    </row>
    <row r="15">
      <c r="A15" t="s">
        <v>17</v>
      </c>
      <c r="B15" t="s">
        <v>18</v>
      </c>
      <c r="C15" t="s">
        <v>83</v>
      </c>
      <c r="D15" t="s">
        <v>144</v>
      </c>
      <c r="E15" t="s">
        <v>145</v>
      </c>
      <c r="F15">
        <v>0.2275</v>
      </c>
      <c r="G15" t="s">
        <v>146</v>
      </c>
      <c r="H15">
        <v>0.2046875</v>
      </c>
    </row>
    <row r="16">
      <c r="A16" t="s">
        <v>17</v>
      </c>
      <c r="B16" t="s">
        <v>18</v>
      </c>
      <c r="C16" t="s">
        <v>147</v>
      </c>
      <c r="D16" t="s">
        <v>148</v>
      </c>
      <c r="E16" t="s">
        <v>149</v>
      </c>
      <c r="F16">
        <v>3.3956043956043955</v>
      </c>
      <c r="G16" t="s">
        <v>150</v>
      </c>
      <c r="H16">
        <v>3.885496183206107</v>
      </c>
    </row>
    <row r="17">
      <c r="A17" t="s">
        <v>17</v>
      </c>
      <c r="B17" t="s">
        <v>18</v>
      </c>
      <c r="C17" t="s">
        <v>151</v>
      </c>
      <c r="D17" t="s">
        <v>152</v>
      </c>
      <c r="E17" t="s">
        <v>153</v>
      </c>
      <c r="F17">
        <v>0.4854368932038835</v>
      </c>
      <c r="G17" t="s">
        <v>154</v>
      </c>
      <c r="H17">
        <v>0.23575638506876226</v>
      </c>
    </row>
    <row r="18">
      <c r="A18" t="s">
        <v>17</v>
      </c>
      <c r="B18" t="s">
        <v>18</v>
      </c>
      <c r="C18" t="s">
        <v>85</v>
      </c>
      <c r="D18" t="s">
        <v>155</v>
      </c>
      <c r="E18" t="s">
        <v>156</v>
      </c>
      <c r="F18">
        <v>3.65</v>
      </c>
      <c r="G18" t="s">
        <v>156</v>
      </c>
      <c r="H18">
        <v>3.65</v>
      </c>
    </row>
    <row r="19">
      <c r="A19" t="s">
        <v>17</v>
      </c>
      <c r="B19" t="s">
        <v>18</v>
      </c>
      <c r="C19" t="s">
        <v>157</v>
      </c>
      <c r="D19" t="s">
        <v>158</v>
      </c>
      <c r="E19" t="s">
        <v>159</v>
      </c>
      <c r="F19">
        <v>133.33333333333334</v>
      </c>
      <c r="G19" t="s">
        <v>160</v>
      </c>
      <c r="H19">
        <v>133.33333333333334</v>
      </c>
    </row>
    <row r="20">
      <c r="A20" t="s">
        <v>17</v>
      </c>
      <c r="B20" t="s">
        <v>18</v>
      </c>
      <c r="C20" t="s">
        <v>161</v>
      </c>
      <c r="D20" t="s">
        <v>162</v>
      </c>
      <c r="E20" t="s">
        <v>163</v>
      </c>
      <c r="F20">
        <v>30.333333333333332</v>
      </c>
      <c r="G20" t="s">
        <v>164</v>
      </c>
      <c r="H20">
        <v>27.291666666666668</v>
      </c>
    </row>
    <row r="21">
      <c r="A21" t="s">
        <v>17</v>
      </c>
      <c r="B21" t="s">
        <v>18</v>
      </c>
      <c r="C21" t="s">
        <v>165</v>
      </c>
      <c r="D21" t="s">
        <v>166</v>
      </c>
      <c r="E21" t="s">
        <v>167</v>
      </c>
      <c r="F21">
        <v>103</v>
      </c>
      <c r="G21" t="s">
        <v>168</v>
      </c>
      <c r="H21">
        <v>106.04166666666667</v>
      </c>
    </row>
    <row r="22">
      <c r="A22" t="s">
        <v>17</v>
      </c>
      <c r="B22" t="s">
        <v>18</v>
      </c>
      <c r="C22" t="s">
        <v>169</v>
      </c>
    </row>
    <row r="23">
      <c r="A23" t="s">
        <v>17</v>
      </c>
      <c r="B23" t="s">
        <v>18</v>
      </c>
      <c r="C23" t="s">
        <v>170</v>
      </c>
      <c r="D23" t="s">
        <v>171</v>
      </c>
      <c r="E23" t="s">
        <v>172</v>
      </c>
      <c r="F23">
        <v>24</v>
      </c>
    </row>
    <row r="24">
      <c r="A24" t="s">
        <v>17</v>
      </c>
      <c r="B24" t="s">
        <v>18</v>
      </c>
      <c r="C24" t="s">
        <v>173</v>
      </c>
      <c r="D24" t="s">
        <v>171</v>
      </c>
      <c r="E24" t="s">
        <v>174</v>
      </c>
      <c r="F24">
        <v>365</v>
      </c>
    </row>
    <row r="25">
      <c r="A25" t="s">
        <v>17</v>
      </c>
      <c r="B25" t="s">
        <v>18</v>
      </c>
      <c r="C25" t="s">
        <v>175</v>
      </c>
      <c r="D25" t="s">
        <v>171</v>
      </c>
      <c r="E25" t="s">
        <v>176</v>
      </c>
      <c r="F25">
        <v>1</v>
      </c>
    </row>
    <row r="26">
      <c r="A26" t="s">
        <v>17</v>
      </c>
      <c r="B26" t="s">
        <v>18</v>
      </c>
      <c r="C26" t="s">
        <v>177</v>
      </c>
      <c r="D26" t="s">
        <v>178</v>
      </c>
      <c r="E26" t="s">
        <v>179</v>
      </c>
      <c r="F26">
        <v>45000</v>
      </c>
    </row>
    <row r="27">
      <c r="A27" t="s">
        <v>17</v>
      </c>
      <c r="B27" t="s">
        <v>18</v>
      </c>
      <c r="C27" t="s">
        <v>180</v>
      </c>
      <c r="D27" t="s">
        <v>178</v>
      </c>
      <c r="E27" t="s">
        <v>181</v>
      </c>
      <c r="F27">
        <v>80000</v>
      </c>
    </row>
    <row r="28">
      <c r="A28" t="s">
        <v>17</v>
      </c>
      <c r="B28" t="s">
        <v>18</v>
      </c>
      <c r="C28" t="s">
        <v>182</v>
      </c>
      <c r="D28" t="s">
        <v>171</v>
      </c>
      <c r="E28" t="s">
        <v>183</v>
      </c>
      <c r="F28">
        <v>4</v>
      </c>
    </row>
    <row r="29">
      <c r="A29" t="s">
        <v>17</v>
      </c>
      <c r="B29" t="s">
        <v>18</v>
      </c>
      <c r="C29" t="s">
        <v>184</v>
      </c>
      <c r="D29" t="s">
        <v>171</v>
      </c>
      <c r="E29" t="s">
        <v>185</v>
      </c>
      <c r="F29">
        <v>6</v>
      </c>
    </row>
    <row r="30">
      <c r="A30" t="s">
        <v>17</v>
      </c>
      <c r="B30" t="s">
        <v>18</v>
      </c>
      <c r="C30" t="s">
        <v>186</v>
      </c>
      <c r="D30" t="s">
        <v>178</v>
      </c>
      <c r="E30" t="s">
        <v>187</v>
      </c>
      <c r="F30">
        <v>250000</v>
      </c>
    </row>
    <row r="31">
      <c r="A31" t="s">
        <v>17</v>
      </c>
      <c r="B31" t="s">
        <v>18</v>
      </c>
      <c r="C31" t="s">
        <v>188</v>
      </c>
      <c r="D31" t="s">
        <v>171</v>
      </c>
      <c r="E31" t="s">
        <v>189</v>
      </c>
    </row>
    <row r="33">
      <c r="A33" t="s">
        <v>24</v>
      </c>
      <c r="B33" t="s">
        <v>25</v>
      </c>
      <c r="C33" t="s">
        <v>97</v>
      </c>
      <c r="D33" t="s">
        <v>98</v>
      </c>
      <c r="E33" t="s">
        <v>190</v>
      </c>
      <c r="F33">
        <v>90000</v>
      </c>
      <c r="G33" t="s">
        <v>191</v>
      </c>
      <c r="H33">
        <v>180000</v>
      </c>
    </row>
    <row r="34">
      <c r="A34" t="s">
        <v>24</v>
      </c>
      <c r="B34" t="s">
        <v>25</v>
      </c>
      <c r="C34" t="s">
        <v>70</v>
      </c>
      <c r="D34" t="s">
        <v>101</v>
      </c>
      <c r="E34" t="s">
        <v>102</v>
      </c>
      <c r="F34">
        <v>1</v>
      </c>
      <c r="G34" t="s">
        <v>192</v>
      </c>
      <c r="H34">
        <v>2</v>
      </c>
    </row>
    <row r="35">
      <c r="A35" t="s">
        <v>24</v>
      </c>
      <c r="B35" t="s">
        <v>25</v>
      </c>
      <c r="C35" t="s">
        <v>72</v>
      </c>
      <c r="D35" t="s">
        <v>104</v>
      </c>
      <c r="E35" t="s">
        <v>193</v>
      </c>
      <c r="F35">
        <v>140</v>
      </c>
      <c r="G35" t="s">
        <v>194</v>
      </c>
      <c r="H35">
        <v>280</v>
      </c>
    </row>
    <row r="36">
      <c r="A36" t="s">
        <v>24</v>
      </c>
      <c r="B36" t="s">
        <v>25</v>
      </c>
      <c r="C36" t="s">
        <v>107</v>
      </c>
      <c r="D36" t="s">
        <v>108</v>
      </c>
      <c r="E36" t="s">
        <v>195</v>
      </c>
      <c r="F36">
        <v>336000</v>
      </c>
      <c r="G36" t="s">
        <v>196</v>
      </c>
      <c r="H36">
        <v>672000</v>
      </c>
    </row>
    <row r="37">
      <c r="A37" t="s">
        <v>24</v>
      </c>
      <c r="B37" t="s">
        <v>25</v>
      </c>
      <c r="C37" t="s">
        <v>111</v>
      </c>
      <c r="D37" t="s">
        <v>112</v>
      </c>
      <c r="E37" t="s">
        <v>197</v>
      </c>
      <c r="F37">
        <v>11900000</v>
      </c>
      <c r="G37" t="s">
        <v>198</v>
      </c>
      <c r="H37">
        <v>23800000</v>
      </c>
    </row>
    <row r="38">
      <c r="A38" t="s">
        <v>24</v>
      </c>
      <c r="B38" t="s">
        <v>25</v>
      </c>
      <c r="C38" t="s">
        <v>115</v>
      </c>
      <c r="D38" t="s">
        <v>116</v>
      </c>
      <c r="E38" t="s">
        <v>199</v>
      </c>
      <c r="F38">
        <v>35.416666666666664</v>
      </c>
      <c r="G38" t="s">
        <v>199</v>
      </c>
      <c r="H38">
        <v>35.416666666666664</v>
      </c>
    </row>
    <row r="39">
      <c r="A39" t="s">
        <v>24</v>
      </c>
      <c r="B39" t="s">
        <v>25</v>
      </c>
      <c r="C39" t="s">
        <v>118</v>
      </c>
      <c r="D39" t="s">
        <v>119</v>
      </c>
      <c r="E39" t="s">
        <v>120</v>
      </c>
      <c r="F39">
        <v>8760</v>
      </c>
      <c r="G39" t="s">
        <v>120</v>
      </c>
      <c r="H39">
        <v>8760</v>
      </c>
    </row>
    <row r="40">
      <c r="A40" t="s">
        <v>24</v>
      </c>
      <c r="B40" t="s">
        <v>25</v>
      </c>
      <c r="C40" t="s">
        <v>121</v>
      </c>
      <c r="D40" t="s">
        <v>122</v>
      </c>
      <c r="E40" t="s">
        <v>200</v>
      </c>
      <c r="F40">
        <v>38.35616438356164</v>
      </c>
      <c r="G40" t="s">
        <v>201</v>
      </c>
      <c r="H40">
        <v>76.71232876712328</v>
      </c>
    </row>
    <row r="41">
      <c r="A41" t="s">
        <v>24</v>
      </c>
      <c r="B41" t="s">
        <v>25</v>
      </c>
      <c r="C41" t="s">
        <v>125</v>
      </c>
      <c r="D41" t="s">
        <v>126</v>
      </c>
      <c r="E41" t="s">
        <v>202</v>
      </c>
      <c r="F41">
        <v>39</v>
      </c>
      <c r="G41" t="s">
        <v>203</v>
      </c>
      <c r="H41">
        <v>77</v>
      </c>
    </row>
    <row r="42">
      <c r="A42" t="s">
        <v>24</v>
      </c>
      <c r="B42" t="s">
        <v>25</v>
      </c>
      <c r="C42" t="s">
        <v>129</v>
      </c>
      <c r="D42" t="s">
        <v>130</v>
      </c>
      <c r="E42" t="s">
        <v>204</v>
      </c>
      <c r="F42">
        <v>9.75</v>
      </c>
      <c r="G42" t="s">
        <v>205</v>
      </c>
      <c r="H42">
        <v>12.833333333333334</v>
      </c>
    </row>
    <row r="43">
      <c r="A43" t="s">
        <v>24</v>
      </c>
      <c r="B43" t="s">
        <v>25</v>
      </c>
      <c r="C43" t="s">
        <v>133</v>
      </c>
      <c r="D43" t="s">
        <v>134</v>
      </c>
      <c r="E43" t="s">
        <v>206</v>
      </c>
      <c r="F43">
        <v>10</v>
      </c>
      <c r="G43" t="s">
        <v>207</v>
      </c>
      <c r="H43">
        <v>13</v>
      </c>
    </row>
    <row r="44">
      <c r="A44" t="s">
        <v>24</v>
      </c>
      <c r="B44" t="s">
        <v>25</v>
      </c>
      <c r="C44" t="s">
        <v>137</v>
      </c>
      <c r="D44" t="s">
        <v>138</v>
      </c>
      <c r="E44" t="s">
        <v>208</v>
      </c>
      <c r="F44">
        <v>2555000</v>
      </c>
      <c r="G44" t="s">
        <v>209</v>
      </c>
      <c r="H44">
        <v>4505000</v>
      </c>
    </row>
    <row r="45">
      <c r="A45" t="s">
        <v>24</v>
      </c>
      <c r="B45" t="s">
        <v>25</v>
      </c>
      <c r="C45" t="s">
        <v>82</v>
      </c>
      <c r="D45" t="s">
        <v>141</v>
      </c>
      <c r="E45" t="s">
        <v>210</v>
      </c>
      <c r="F45">
        <v>9345000</v>
      </c>
      <c r="G45" t="s">
        <v>211</v>
      </c>
      <c r="H45">
        <v>19295000</v>
      </c>
    </row>
    <row r="46">
      <c r="A46" t="s">
        <v>24</v>
      </c>
      <c r="B46" t="s">
        <v>25</v>
      </c>
      <c r="C46" t="s">
        <v>83</v>
      </c>
      <c r="D46" t="s">
        <v>144</v>
      </c>
      <c r="E46" t="s">
        <v>212</v>
      </c>
      <c r="F46">
        <v>0.21470588235294116</v>
      </c>
      <c r="G46" t="s">
        <v>213</v>
      </c>
      <c r="H46">
        <v>0.18928571428571428</v>
      </c>
    </row>
    <row r="47">
      <c r="A47" t="s">
        <v>24</v>
      </c>
      <c r="B47" t="s">
        <v>25</v>
      </c>
      <c r="C47" t="s">
        <v>147</v>
      </c>
      <c r="D47" t="s">
        <v>148</v>
      </c>
      <c r="E47" t="s">
        <v>214</v>
      </c>
      <c r="F47">
        <v>3.6575342465753424</v>
      </c>
      <c r="G47" t="s">
        <v>215</v>
      </c>
      <c r="H47">
        <v>4.283018867924528</v>
      </c>
    </row>
    <row r="48">
      <c r="A48" t="s">
        <v>24</v>
      </c>
      <c r="B48" t="s">
        <v>25</v>
      </c>
      <c r="C48" t="s">
        <v>151</v>
      </c>
      <c r="D48" t="s">
        <v>152</v>
      </c>
      <c r="E48" t="s">
        <v>216</v>
      </c>
      <c r="F48">
        <v>0.32102728731942215</v>
      </c>
      <c r="G48" t="s">
        <v>217</v>
      </c>
      <c r="H48">
        <v>0.15548069448043533</v>
      </c>
    </row>
    <row r="49">
      <c r="A49" t="s">
        <v>24</v>
      </c>
      <c r="B49" t="s">
        <v>25</v>
      </c>
      <c r="C49" t="s">
        <v>85</v>
      </c>
      <c r="D49" t="s">
        <v>155</v>
      </c>
      <c r="E49" t="s">
        <v>156</v>
      </c>
      <c r="F49">
        <v>3.65</v>
      </c>
      <c r="G49" t="s">
        <v>156</v>
      </c>
      <c r="H49">
        <v>3.65</v>
      </c>
    </row>
    <row r="50">
      <c r="A50" t="s">
        <v>24</v>
      </c>
      <c r="B50" t="s">
        <v>25</v>
      </c>
      <c r="C50" t="s">
        <v>157</v>
      </c>
      <c r="D50" t="s">
        <v>158</v>
      </c>
      <c r="E50" t="s">
        <v>218</v>
      </c>
      <c r="F50">
        <v>132.22222222222223</v>
      </c>
      <c r="G50" t="s">
        <v>219</v>
      </c>
      <c r="H50">
        <v>132.22222222222223</v>
      </c>
    </row>
    <row r="51">
      <c r="A51" t="s">
        <v>24</v>
      </c>
      <c r="B51" t="s">
        <v>25</v>
      </c>
      <c r="C51" t="s">
        <v>161</v>
      </c>
      <c r="D51" t="s">
        <v>162</v>
      </c>
      <c r="E51" t="s">
        <v>220</v>
      </c>
      <c r="F51">
        <v>28.38888888888889</v>
      </c>
      <c r="G51" t="s">
        <v>221</v>
      </c>
      <c r="H51">
        <v>25.02777777777778</v>
      </c>
    </row>
    <row r="52">
      <c r="A52" t="s">
        <v>24</v>
      </c>
      <c r="B52" t="s">
        <v>25</v>
      </c>
      <c r="C52" t="s">
        <v>165</v>
      </c>
      <c r="D52" t="s">
        <v>166</v>
      </c>
      <c r="E52" t="s">
        <v>222</v>
      </c>
      <c r="F52">
        <v>103.83333333333333</v>
      </c>
      <c r="G52" t="s">
        <v>223</v>
      </c>
      <c r="H52">
        <v>107.19444444444444</v>
      </c>
    </row>
    <row r="53">
      <c r="A53" t="s">
        <v>24</v>
      </c>
      <c r="B53" t="s">
        <v>25</v>
      </c>
      <c r="C53" t="s">
        <v>169</v>
      </c>
    </row>
    <row r="54">
      <c r="A54" t="s">
        <v>24</v>
      </c>
      <c r="B54" t="s">
        <v>25</v>
      </c>
      <c r="C54" t="s">
        <v>170</v>
      </c>
      <c r="D54" t="s">
        <v>171</v>
      </c>
      <c r="E54" t="s">
        <v>172</v>
      </c>
      <c r="F54">
        <v>24</v>
      </c>
    </row>
    <row r="55">
      <c r="A55" t="s">
        <v>24</v>
      </c>
      <c r="B55" t="s">
        <v>25</v>
      </c>
      <c r="C55" t="s">
        <v>173</v>
      </c>
      <c r="D55" t="s">
        <v>171</v>
      </c>
      <c r="E55" t="s">
        <v>174</v>
      </c>
      <c r="F55">
        <v>365</v>
      </c>
    </row>
    <row r="56">
      <c r="A56" t="s">
        <v>24</v>
      </c>
      <c r="B56" t="s">
        <v>25</v>
      </c>
      <c r="C56" t="s">
        <v>175</v>
      </c>
      <c r="D56" t="s">
        <v>171</v>
      </c>
      <c r="E56" t="s">
        <v>176</v>
      </c>
      <c r="F56">
        <v>1</v>
      </c>
    </row>
    <row r="57">
      <c r="A57" t="s">
        <v>24</v>
      </c>
      <c r="B57" t="s">
        <v>25</v>
      </c>
      <c r="C57" t="s">
        <v>177</v>
      </c>
      <c r="D57" t="s">
        <v>178</v>
      </c>
      <c r="E57" t="s">
        <v>179</v>
      </c>
      <c r="F57">
        <v>45000</v>
      </c>
    </row>
    <row r="58">
      <c r="A58" t="s">
        <v>24</v>
      </c>
      <c r="B58" t="s">
        <v>25</v>
      </c>
      <c r="C58" t="s">
        <v>180</v>
      </c>
      <c r="D58" t="s">
        <v>178</v>
      </c>
      <c r="E58" t="s">
        <v>181</v>
      </c>
      <c r="F58">
        <v>80000</v>
      </c>
    </row>
    <row r="59">
      <c r="A59" t="s">
        <v>24</v>
      </c>
      <c r="B59" t="s">
        <v>25</v>
      </c>
      <c r="C59" t="s">
        <v>182</v>
      </c>
      <c r="D59" t="s">
        <v>171</v>
      </c>
      <c r="E59" t="s">
        <v>183</v>
      </c>
      <c r="F59">
        <v>4</v>
      </c>
    </row>
    <row r="60">
      <c r="A60" t="s">
        <v>24</v>
      </c>
      <c r="B60" t="s">
        <v>25</v>
      </c>
      <c r="C60" t="s">
        <v>184</v>
      </c>
      <c r="D60" t="s">
        <v>171</v>
      </c>
      <c r="E60" t="s">
        <v>185</v>
      </c>
      <c r="F60">
        <v>6</v>
      </c>
    </row>
    <row r="61">
      <c r="A61" t="s">
        <v>24</v>
      </c>
      <c r="B61" t="s">
        <v>25</v>
      </c>
      <c r="C61" t="s">
        <v>186</v>
      </c>
      <c r="D61" t="s">
        <v>178</v>
      </c>
      <c r="E61" t="s">
        <v>187</v>
      </c>
      <c r="F61">
        <v>250000</v>
      </c>
    </row>
    <row r="62">
      <c r="A62" t="s">
        <v>24</v>
      </c>
      <c r="B62" t="s">
        <v>25</v>
      </c>
      <c r="C62" t="s">
        <v>188</v>
      </c>
      <c r="D62" t="s">
        <v>171</v>
      </c>
      <c r="E62" t="s">
        <v>189</v>
      </c>
    </row>
    <row r="64">
      <c r="A64" t="s">
        <v>27</v>
      </c>
      <c r="B64" t="s">
        <v>28</v>
      </c>
      <c r="C64" t="s">
        <v>97</v>
      </c>
      <c r="D64" t="s">
        <v>98</v>
      </c>
      <c r="E64" t="s">
        <v>224</v>
      </c>
      <c r="F64">
        <v>125000</v>
      </c>
      <c r="G64" t="s">
        <v>225</v>
      </c>
      <c r="H64">
        <v>250000</v>
      </c>
    </row>
    <row r="65">
      <c r="A65" t="s">
        <v>27</v>
      </c>
      <c r="B65" t="s">
        <v>28</v>
      </c>
      <c r="C65" t="s">
        <v>70</v>
      </c>
      <c r="D65" t="s">
        <v>101</v>
      </c>
      <c r="E65" t="s">
        <v>102</v>
      </c>
      <c r="F65">
        <v>1</v>
      </c>
      <c r="G65" t="s">
        <v>226</v>
      </c>
      <c r="H65">
        <v>2</v>
      </c>
    </row>
    <row r="66">
      <c r="A66" t="s">
        <v>27</v>
      </c>
      <c r="B66" t="s">
        <v>28</v>
      </c>
      <c r="C66" t="s">
        <v>72</v>
      </c>
      <c r="D66" t="s">
        <v>104</v>
      </c>
      <c r="E66" t="s">
        <v>227</v>
      </c>
      <c r="F66">
        <v>180</v>
      </c>
      <c r="G66" t="s">
        <v>228</v>
      </c>
      <c r="H66">
        <v>360</v>
      </c>
    </row>
    <row r="67">
      <c r="A67" t="s">
        <v>27</v>
      </c>
      <c r="B67" t="s">
        <v>28</v>
      </c>
      <c r="C67" t="s">
        <v>107</v>
      </c>
      <c r="D67" t="s">
        <v>108</v>
      </c>
      <c r="E67" t="s">
        <v>229</v>
      </c>
      <c r="F67">
        <v>576000</v>
      </c>
      <c r="G67" t="s">
        <v>230</v>
      </c>
      <c r="H67">
        <v>1152000</v>
      </c>
    </row>
    <row r="68">
      <c r="A68" t="s">
        <v>27</v>
      </c>
      <c r="B68" t="s">
        <v>28</v>
      </c>
      <c r="C68" t="s">
        <v>111</v>
      </c>
      <c r="D68" t="s">
        <v>112</v>
      </c>
      <c r="E68" t="s">
        <v>231</v>
      </c>
      <c r="F68">
        <v>16200000</v>
      </c>
      <c r="G68" t="s">
        <v>232</v>
      </c>
      <c r="H68">
        <v>32400000</v>
      </c>
    </row>
    <row r="69">
      <c r="A69" t="s">
        <v>27</v>
      </c>
      <c r="B69" t="s">
        <v>28</v>
      </c>
      <c r="C69" t="s">
        <v>115</v>
      </c>
      <c r="D69" t="s">
        <v>116</v>
      </c>
      <c r="E69" t="s">
        <v>233</v>
      </c>
      <c r="F69">
        <v>28.125</v>
      </c>
      <c r="G69" t="s">
        <v>233</v>
      </c>
      <c r="H69">
        <v>28.125</v>
      </c>
    </row>
    <row r="70">
      <c r="A70" t="s">
        <v>27</v>
      </c>
      <c r="B70" t="s">
        <v>28</v>
      </c>
      <c r="C70" t="s">
        <v>118</v>
      </c>
      <c r="D70" t="s">
        <v>119</v>
      </c>
      <c r="E70" t="s">
        <v>120</v>
      </c>
      <c r="F70">
        <v>8760</v>
      </c>
      <c r="G70" t="s">
        <v>120</v>
      </c>
      <c r="H70">
        <v>8760</v>
      </c>
    </row>
    <row r="71">
      <c r="A71" t="s">
        <v>27</v>
      </c>
      <c r="B71" t="s">
        <v>28</v>
      </c>
      <c r="C71" t="s">
        <v>121</v>
      </c>
      <c r="D71" t="s">
        <v>122</v>
      </c>
      <c r="E71" t="s">
        <v>234</v>
      </c>
      <c r="F71">
        <v>65.75342465753425</v>
      </c>
      <c r="G71" t="s">
        <v>235</v>
      </c>
      <c r="H71">
        <v>131.5068493150685</v>
      </c>
    </row>
    <row r="72">
      <c r="A72" t="s">
        <v>27</v>
      </c>
      <c r="B72" t="s">
        <v>28</v>
      </c>
      <c r="C72" t="s">
        <v>125</v>
      </c>
      <c r="D72" t="s">
        <v>126</v>
      </c>
      <c r="E72" t="s">
        <v>236</v>
      </c>
      <c r="F72">
        <v>66</v>
      </c>
      <c r="G72" t="s">
        <v>237</v>
      </c>
      <c r="H72">
        <v>132</v>
      </c>
    </row>
    <row r="73">
      <c r="A73" t="s">
        <v>27</v>
      </c>
      <c r="B73" t="s">
        <v>28</v>
      </c>
      <c r="C73" t="s">
        <v>129</v>
      </c>
      <c r="D73" t="s">
        <v>130</v>
      </c>
      <c r="E73" t="s">
        <v>238</v>
      </c>
      <c r="F73">
        <v>16.5</v>
      </c>
      <c r="G73" t="s">
        <v>239</v>
      </c>
      <c r="H73">
        <v>22</v>
      </c>
    </row>
    <row r="74">
      <c r="A74" t="s">
        <v>27</v>
      </c>
      <c r="B74" t="s">
        <v>28</v>
      </c>
      <c r="C74" t="s">
        <v>133</v>
      </c>
      <c r="D74" t="s">
        <v>134</v>
      </c>
      <c r="E74" t="s">
        <v>240</v>
      </c>
      <c r="F74">
        <v>17</v>
      </c>
      <c r="G74" t="s">
        <v>241</v>
      </c>
      <c r="H74">
        <v>22</v>
      </c>
    </row>
    <row r="75">
      <c r="A75" t="s">
        <v>27</v>
      </c>
      <c r="B75" t="s">
        <v>28</v>
      </c>
      <c r="C75" t="s">
        <v>137</v>
      </c>
      <c r="D75" t="s">
        <v>138</v>
      </c>
      <c r="E75" t="s">
        <v>242</v>
      </c>
      <c r="F75">
        <v>4330000</v>
      </c>
      <c r="G75" t="s">
        <v>243</v>
      </c>
      <c r="H75">
        <v>7700000</v>
      </c>
    </row>
    <row r="76">
      <c r="A76" t="s">
        <v>27</v>
      </c>
      <c r="B76" t="s">
        <v>28</v>
      </c>
      <c r="C76" t="s">
        <v>82</v>
      </c>
      <c r="D76" t="s">
        <v>141</v>
      </c>
      <c r="E76" t="s">
        <v>244</v>
      </c>
      <c r="F76">
        <v>11870000</v>
      </c>
      <c r="G76" t="s">
        <v>245</v>
      </c>
      <c r="H76">
        <v>24700000</v>
      </c>
    </row>
    <row r="77">
      <c r="A77" t="s">
        <v>27</v>
      </c>
      <c r="B77" t="s">
        <v>28</v>
      </c>
      <c r="C77" t="s">
        <v>83</v>
      </c>
      <c r="D77" t="s">
        <v>144</v>
      </c>
      <c r="E77" t="s">
        <v>246</v>
      </c>
      <c r="F77">
        <v>0.26728395061728394</v>
      </c>
      <c r="G77" t="s">
        <v>247</v>
      </c>
      <c r="H77">
        <v>0.23765432098765432</v>
      </c>
    </row>
    <row r="78">
      <c r="A78" t="s">
        <v>27</v>
      </c>
      <c r="B78" t="s">
        <v>28</v>
      </c>
      <c r="C78" t="s">
        <v>147</v>
      </c>
      <c r="D78" t="s">
        <v>148</v>
      </c>
      <c r="E78" t="s">
        <v>248</v>
      </c>
      <c r="F78">
        <v>2.741339491916859</v>
      </c>
      <c r="G78" t="s">
        <v>249</v>
      </c>
      <c r="H78">
        <v>3.207792207792208</v>
      </c>
    </row>
    <row r="79">
      <c r="A79" t="s">
        <v>27</v>
      </c>
      <c r="B79" t="s">
        <v>28</v>
      </c>
      <c r="C79" t="s">
        <v>151</v>
      </c>
      <c r="D79" t="s">
        <v>152</v>
      </c>
      <c r="E79" t="s">
        <v>250</v>
      </c>
      <c r="F79">
        <v>0.25273799494524013</v>
      </c>
      <c r="G79" t="s">
        <v>251</v>
      </c>
      <c r="H79">
        <v>0.12145748987854252</v>
      </c>
    </row>
    <row r="80">
      <c r="A80" t="s">
        <v>27</v>
      </c>
      <c r="B80" t="s">
        <v>28</v>
      </c>
      <c r="C80" t="s">
        <v>85</v>
      </c>
      <c r="D80" t="s">
        <v>155</v>
      </c>
      <c r="E80" t="s">
        <v>252</v>
      </c>
      <c r="F80">
        <v>2.7375</v>
      </c>
      <c r="G80" t="s">
        <v>252</v>
      </c>
      <c r="H80">
        <v>2.7375</v>
      </c>
    </row>
    <row r="81">
      <c r="A81" t="s">
        <v>27</v>
      </c>
      <c r="B81" t="s">
        <v>28</v>
      </c>
      <c r="C81" t="s">
        <v>157</v>
      </c>
      <c r="D81" t="s">
        <v>158</v>
      </c>
      <c r="E81" t="s">
        <v>253</v>
      </c>
      <c r="F81">
        <v>129.6</v>
      </c>
      <c r="G81" t="s">
        <v>254</v>
      </c>
      <c r="H81">
        <v>129.6</v>
      </c>
    </row>
    <row r="82">
      <c r="A82" t="s">
        <v>27</v>
      </c>
      <c r="B82" t="s">
        <v>28</v>
      </c>
      <c r="C82" t="s">
        <v>161</v>
      </c>
      <c r="D82" t="s">
        <v>162</v>
      </c>
      <c r="E82" t="s">
        <v>255</v>
      </c>
      <c r="F82">
        <v>34.64</v>
      </c>
      <c r="G82" t="s">
        <v>256</v>
      </c>
      <c r="H82">
        <v>30.8</v>
      </c>
    </row>
    <row r="83">
      <c r="A83" t="s">
        <v>27</v>
      </c>
      <c r="B83" t="s">
        <v>28</v>
      </c>
      <c r="C83" t="s">
        <v>165</v>
      </c>
      <c r="D83" t="s">
        <v>166</v>
      </c>
      <c r="E83" t="s">
        <v>257</v>
      </c>
      <c r="F83">
        <v>94.96</v>
      </c>
      <c r="G83" t="s">
        <v>258</v>
      </c>
      <c r="H83">
        <v>98.8</v>
      </c>
    </row>
    <row r="84">
      <c r="A84" t="s">
        <v>27</v>
      </c>
      <c r="B84" t="s">
        <v>28</v>
      </c>
      <c r="C84" t="s">
        <v>169</v>
      </c>
    </row>
    <row r="85">
      <c r="A85" t="s">
        <v>27</v>
      </c>
      <c r="B85" t="s">
        <v>28</v>
      </c>
      <c r="C85" t="s">
        <v>170</v>
      </c>
      <c r="D85" t="s">
        <v>171</v>
      </c>
      <c r="E85" t="s">
        <v>172</v>
      </c>
      <c r="F85">
        <v>24</v>
      </c>
    </row>
    <row r="86">
      <c r="A86" t="s">
        <v>27</v>
      </c>
      <c r="B86" t="s">
        <v>28</v>
      </c>
      <c r="C86" t="s">
        <v>173</v>
      </c>
      <c r="D86" t="s">
        <v>171</v>
      </c>
      <c r="E86" t="s">
        <v>174</v>
      </c>
      <c r="F86">
        <v>365</v>
      </c>
    </row>
    <row r="87">
      <c r="A87" t="s">
        <v>27</v>
      </c>
      <c r="B87" t="s">
        <v>28</v>
      </c>
      <c r="C87" t="s">
        <v>175</v>
      </c>
      <c r="D87" t="s">
        <v>171</v>
      </c>
      <c r="E87" t="s">
        <v>176</v>
      </c>
      <c r="F87">
        <v>1</v>
      </c>
    </row>
    <row r="88">
      <c r="A88" t="s">
        <v>27</v>
      </c>
      <c r="B88" t="s">
        <v>28</v>
      </c>
      <c r="C88" t="s">
        <v>177</v>
      </c>
      <c r="D88" t="s">
        <v>178</v>
      </c>
      <c r="E88" t="s">
        <v>179</v>
      </c>
      <c r="F88">
        <v>45000</v>
      </c>
    </row>
    <row r="89">
      <c r="A89" t="s">
        <v>27</v>
      </c>
      <c r="B89" t="s">
        <v>28</v>
      </c>
      <c r="C89" t="s">
        <v>180</v>
      </c>
      <c r="D89" t="s">
        <v>178</v>
      </c>
      <c r="E89" t="s">
        <v>181</v>
      </c>
      <c r="F89">
        <v>80000</v>
      </c>
    </row>
    <row r="90">
      <c r="A90" t="s">
        <v>27</v>
      </c>
      <c r="B90" t="s">
        <v>28</v>
      </c>
      <c r="C90" t="s">
        <v>182</v>
      </c>
      <c r="D90" t="s">
        <v>171</v>
      </c>
      <c r="E90" t="s">
        <v>183</v>
      </c>
      <c r="F90">
        <v>4</v>
      </c>
    </row>
    <row r="91">
      <c r="A91" t="s">
        <v>27</v>
      </c>
      <c r="B91" t="s">
        <v>28</v>
      </c>
      <c r="C91" t="s">
        <v>184</v>
      </c>
      <c r="D91" t="s">
        <v>171</v>
      </c>
      <c r="E91" t="s">
        <v>185</v>
      </c>
      <c r="F91">
        <v>6</v>
      </c>
    </row>
    <row r="92">
      <c r="A92" t="s">
        <v>27</v>
      </c>
      <c r="B92" t="s">
        <v>28</v>
      </c>
      <c r="C92" t="s">
        <v>186</v>
      </c>
      <c r="D92" t="s">
        <v>178</v>
      </c>
      <c r="E92" t="s">
        <v>187</v>
      </c>
      <c r="F92">
        <v>250000</v>
      </c>
    </row>
    <row r="93">
      <c r="A93" t="s">
        <v>27</v>
      </c>
      <c r="B93" t="s">
        <v>28</v>
      </c>
      <c r="C93" t="s">
        <v>188</v>
      </c>
      <c r="D93" t="s">
        <v>171</v>
      </c>
      <c r="E93" t="s">
        <v>189</v>
      </c>
    </row>
    <row r="95">
      <c r="A95" t="s">
        <v>31</v>
      </c>
      <c r="B95" t="s">
        <v>32</v>
      </c>
      <c r="C95" t="s">
        <v>97</v>
      </c>
      <c r="D95" t="s">
        <v>98</v>
      </c>
      <c r="E95" t="s">
        <v>259</v>
      </c>
      <c r="F95">
        <v>45000</v>
      </c>
      <c r="G95" t="s">
        <v>190</v>
      </c>
      <c r="H95">
        <v>90000</v>
      </c>
    </row>
    <row r="96">
      <c r="A96" t="s">
        <v>31</v>
      </c>
      <c r="B96" t="s">
        <v>32</v>
      </c>
      <c r="C96" t="s">
        <v>70</v>
      </c>
      <c r="D96" t="s">
        <v>101</v>
      </c>
      <c r="E96" t="s">
        <v>102</v>
      </c>
      <c r="F96">
        <v>1</v>
      </c>
      <c r="G96" t="s">
        <v>260</v>
      </c>
      <c r="H96">
        <v>2</v>
      </c>
    </row>
    <row r="97">
      <c r="A97" t="s">
        <v>31</v>
      </c>
      <c r="B97" t="s">
        <v>32</v>
      </c>
      <c r="C97" t="s">
        <v>72</v>
      </c>
      <c r="D97" t="s">
        <v>104</v>
      </c>
      <c r="E97" t="s">
        <v>261</v>
      </c>
      <c r="F97">
        <v>60</v>
      </c>
      <c r="G97" t="s">
        <v>262</v>
      </c>
      <c r="H97">
        <v>120</v>
      </c>
    </row>
    <row r="98">
      <c r="A98" t="s">
        <v>31</v>
      </c>
      <c r="B98" t="s">
        <v>32</v>
      </c>
      <c r="C98" t="s">
        <v>107</v>
      </c>
      <c r="D98" t="s">
        <v>108</v>
      </c>
      <c r="E98" t="s">
        <v>263</v>
      </c>
      <c r="F98">
        <v>144000</v>
      </c>
      <c r="G98" t="s">
        <v>264</v>
      </c>
      <c r="H98">
        <v>288000</v>
      </c>
    </row>
    <row r="99">
      <c r="A99" t="s">
        <v>31</v>
      </c>
      <c r="B99" t="s">
        <v>32</v>
      </c>
      <c r="C99" t="s">
        <v>111</v>
      </c>
      <c r="D99" t="s">
        <v>112</v>
      </c>
      <c r="E99" t="s">
        <v>265</v>
      </c>
      <c r="F99">
        <v>4200000</v>
      </c>
      <c r="G99" t="s">
        <v>266</v>
      </c>
      <c r="H99">
        <v>8400000</v>
      </c>
    </row>
    <row r="100">
      <c r="A100" t="s">
        <v>31</v>
      </c>
      <c r="B100" t="s">
        <v>32</v>
      </c>
      <c r="C100" t="s">
        <v>115</v>
      </c>
      <c r="D100" t="s">
        <v>116</v>
      </c>
      <c r="E100" t="s">
        <v>267</v>
      </c>
      <c r="F100">
        <v>29.166666666666668</v>
      </c>
      <c r="G100" t="s">
        <v>267</v>
      </c>
      <c r="H100">
        <v>29.166666666666668</v>
      </c>
    </row>
    <row r="101">
      <c r="A101" t="s">
        <v>31</v>
      </c>
      <c r="B101" t="s">
        <v>32</v>
      </c>
      <c r="C101" t="s">
        <v>118</v>
      </c>
      <c r="D101" t="s">
        <v>119</v>
      </c>
      <c r="E101" t="s">
        <v>120</v>
      </c>
      <c r="F101">
        <v>8760</v>
      </c>
      <c r="G101" t="s">
        <v>120</v>
      </c>
      <c r="H101">
        <v>8760</v>
      </c>
    </row>
    <row r="102">
      <c r="A102" t="s">
        <v>31</v>
      </c>
      <c r="B102" t="s">
        <v>32</v>
      </c>
      <c r="C102" t="s">
        <v>121</v>
      </c>
      <c r="D102" t="s">
        <v>122</v>
      </c>
      <c r="E102" t="s">
        <v>268</v>
      </c>
      <c r="F102">
        <v>16.438356164383563</v>
      </c>
      <c r="G102" t="s">
        <v>269</v>
      </c>
      <c r="H102">
        <v>32.87671232876713</v>
      </c>
    </row>
    <row r="103">
      <c r="A103" t="s">
        <v>31</v>
      </c>
      <c r="B103" t="s">
        <v>32</v>
      </c>
      <c r="C103" t="s">
        <v>125</v>
      </c>
      <c r="D103" t="s">
        <v>126</v>
      </c>
      <c r="E103" t="s">
        <v>270</v>
      </c>
      <c r="F103">
        <v>17</v>
      </c>
      <c r="G103" t="s">
        <v>271</v>
      </c>
      <c r="H103">
        <v>33</v>
      </c>
    </row>
    <row r="104">
      <c r="A104" t="s">
        <v>31</v>
      </c>
      <c r="B104" t="s">
        <v>32</v>
      </c>
      <c r="C104" t="s">
        <v>129</v>
      </c>
      <c r="D104" t="s">
        <v>130</v>
      </c>
      <c r="E104" t="s">
        <v>272</v>
      </c>
      <c r="F104">
        <v>4.25</v>
      </c>
      <c r="G104" t="s">
        <v>273</v>
      </c>
      <c r="H104">
        <v>5.5</v>
      </c>
    </row>
    <row r="105">
      <c r="A105" t="s">
        <v>31</v>
      </c>
      <c r="B105" t="s">
        <v>32</v>
      </c>
      <c r="C105" t="s">
        <v>133</v>
      </c>
      <c r="D105" t="s">
        <v>134</v>
      </c>
      <c r="E105" t="s">
        <v>274</v>
      </c>
      <c r="F105">
        <v>5</v>
      </c>
      <c r="G105" t="s">
        <v>275</v>
      </c>
      <c r="H105">
        <v>6</v>
      </c>
    </row>
    <row r="106">
      <c r="A106" t="s">
        <v>31</v>
      </c>
      <c r="B106" t="s">
        <v>32</v>
      </c>
      <c r="C106" t="s">
        <v>137</v>
      </c>
      <c r="D106" t="s">
        <v>138</v>
      </c>
      <c r="E106" t="s">
        <v>276</v>
      </c>
      <c r="F106">
        <v>1165000</v>
      </c>
      <c r="G106" t="s">
        <v>277</v>
      </c>
      <c r="H106">
        <v>1965000</v>
      </c>
    </row>
    <row r="107">
      <c r="A107" t="s">
        <v>31</v>
      </c>
      <c r="B107" t="s">
        <v>32</v>
      </c>
      <c r="C107" t="s">
        <v>82</v>
      </c>
      <c r="D107" t="s">
        <v>141</v>
      </c>
      <c r="E107" t="s">
        <v>278</v>
      </c>
      <c r="F107">
        <v>3035000</v>
      </c>
      <c r="G107" t="s">
        <v>279</v>
      </c>
      <c r="H107">
        <v>6435000</v>
      </c>
    </row>
    <row r="108">
      <c r="A108" t="s">
        <v>31</v>
      </c>
      <c r="B108" t="s">
        <v>32</v>
      </c>
      <c r="C108" t="s">
        <v>83</v>
      </c>
      <c r="D108" t="s">
        <v>144</v>
      </c>
      <c r="E108" t="s">
        <v>280</v>
      </c>
      <c r="F108">
        <v>0.2773809523809524</v>
      </c>
      <c r="G108" t="s">
        <v>281</v>
      </c>
      <c r="H108">
        <v>0.23392857142857143</v>
      </c>
    </row>
    <row r="109">
      <c r="A109" t="s">
        <v>31</v>
      </c>
      <c r="B109" t="s">
        <v>32</v>
      </c>
      <c r="C109" t="s">
        <v>147</v>
      </c>
      <c r="D109" t="s">
        <v>148</v>
      </c>
      <c r="E109" t="s">
        <v>282</v>
      </c>
      <c r="F109">
        <v>2.6051502145922747</v>
      </c>
      <c r="G109" t="s">
        <v>283</v>
      </c>
      <c r="H109">
        <v>3.2748091603053435</v>
      </c>
    </row>
    <row r="110">
      <c r="A110" t="s">
        <v>31</v>
      </c>
      <c r="B110" t="s">
        <v>32</v>
      </c>
      <c r="C110" t="s">
        <v>151</v>
      </c>
      <c r="D110" t="s">
        <v>152</v>
      </c>
      <c r="E110" t="s">
        <v>284</v>
      </c>
      <c r="F110">
        <v>0.9884678747940693</v>
      </c>
      <c r="G110" t="s">
        <v>285</v>
      </c>
      <c r="H110">
        <v>0.4662004662004662</v>
      </c>
    </row>
    <row r="111">
      <c r="A111" t="s">
        <v>31</v>
      </c>
      <c r="B111" t="s">
        <v>32</v>
      </c>
      <c r="C111" t="s">
        <v>85</v>
      </c>
      <c r="D111" t="s">
        <v>155</v>
      </c>
      <c r="E111" t="s">
        <v>156</v>
      </c>
      <c r="F111">
        <v>3.65</v>
      </c>
      <c r="G111" t="s">
        <v>156</v>
      </c>
      <c r="H111">
        <v>3.65</v>
      </c>
    </row>
    <row r="112">
      <c r="A112" t="s">
        <v>31</v>
      </c>
      <c r="B112" t="s">
        <v>32</v>
      </c>
      <c r="C112" t="s">
        <v>157</v>
      </c>
      <c r="D112" t="s">
        <v>158</v>
      </c>
      <c r="E112" t="s">
        <v>286</v>
      </c>
      <c r="F112">
        <v>93.33333333333333</v>
      </c>
      <c r="G112" t="s">
        <v>287</v>
      </c>
      <c r="H112">
        <v>93.33333333333333</v>
      </c>
    </row>
    <row r="113">
      <c r="A113" t="s">
        <v>31</v>
      </c>
      <c r="B113" t="s">
        <v>32</v>
      </c>
      <c r="C113" t="s">
        <v>161</v>
      </c>
      <c r="D113" t="s">
        <v>162</v>
      </c>
      <c r="E113" t="s">
        <v>288</v>
      </c>
      <c r="F113">
        <v>25.88888888888889</v>
      </c>
      <c r="G113" t="s">
        <v>289</v>
      </c>
      <c r="H113">
        <v>21.833333333333332</v>
      </c>
    </row>
    <row r="114">
      <c r="A114" t="s">
        <v>31</v>
      </c>
      <c r="B114" t="s">
        <v>32</v>
      </c>
      <c r="C114" t="s">
        <v>165</v>
      </c>
      <c r="D114" t="s">
        <v>166</v>
      </c>
      <c r="E114" t="s">
        <v>290</v>
      </c>
      <c r="F114">
        <v>67.44444444444444</v>
      </c>
      <c r="G114" t="s">
        <v>291</v>
      </c>
      <c r="H114">
        <v>71.5</v>
      </c>
    </row>
    <row r="115">
      <c r="A115" t="s">
        <v>31</v>
      </c>
      <c r="B115" t="s">
        <v>32</v>
      </c>
      <c r="C115" t="s">
        <v>169</v>
      </c>
    </row>
    <row r="116">
      <c r="A116" t="s">
        <v>31</v>
      </c>
      <c r="B116" t="s">
        <v>32</v>
      </c>
      <c r="C116" t="s">
        <v>170</v>
      </c>
      <c r="D116" t="s">
        <v>171</v>
      </c>
      <c r="E116" t="s">
        <v>172</v>
      </c>
      <c r="F116">
        <v>24</v>
      </c>
    </row>
    <row r="117">
      <c r="A117" t="s">
        <v>31</v>
      </c>
      <c r="B117" t="s">
        <v>32</v>
      </c>
      <c r="C117" t="s">
        <v>173</v>
      </c>
      <c r="D117" t="s">
        <v>171</v>
      </c>
      <c r="E117" t="s">
        <v>174</v>
      </c>
      <c r="F117">
        <v>365</v>
      </c>
    </row>
    <row r="118">
      <c r="A118" t="s">
        <v>31</v>
      </c>
      <c r="B118" t="s">
        <v>32</v>
      </c>
      <c r="C118" t="s">
        <v>175</v>
      </c>
      <c r="D118" t="s">
        <v>171</v>
      </c>
      <c r="E118" t="s">
        <v>176</v>
      </c>
      <c r="F118">
        <v>1</v>
      </c>
    </row>
    <row r="119">
      <c r="A119" t="s">
        <v>31</v>
      </c>
      <c r="B119" t="s">
        <v>32</v>
      </c>
      <c r="C119" t="s">
        <v>177</v>
      </c>
      <c r="D119" t="s">
        <v>178</v>
      </c>
      <c r="E119" t="s">
        <v>179</v>
      </c>
      <c r="F119">
        <v>45000</v>
      </c>
    </row>
    <row r="120">
      <c r="A120" t="s">
        <v>31</v>
      </c>
      <c r="B120" t="s">
        <v>32</v>
      </c>
      <c r="C120" t="s">
        <v>180</v>
      </c>
      <c r="D120" t="s">
        <v>178</v>
      </c>
      <c r="E120" t="s">
        <v>181</v>
      </c>
      <c r="F120">
        <v>80000</v>
      </c>
    </row>
    <row r="121">
      <c r="A121" t="s">
        <v>31</v>
      </c>
      <c r="B121" t="s">
        <v>32</v>
      </c>
      <c r="C121" t="s">
        <v>182</v>
      </c>
      <c r="D121" t="s">
        <v>171</v>
      </c>
      <c r="E121" t="s">
        <v>183</v>
      </c>
      <c r="F121">
        <v>4</v>
      </c>
    </row>
    <row r="122">
      <c r="A122" t="s">
        <v>31</v>
      </c>
      <c r="B122" t="s">
        <v>32</v>
      </c>
      <c r="C122" t="s">
        <v>184</v>
      </c>
      <c r="D122" t="s">
        <v>171</v>
      </c>
      <c r="E122" t="s">
        <v>185</v>
      </c>
      <c r="F122">
        <v>6</v>
      </c>
    </row>
    <row r="123">
      <c r="A123" t="s">
        <v>31</v>
      </c>
      <c r="B123" t="s">
        <v>32</v>
      </c>
      <c r="C123" t="s">
        <v>186</v>
      </c>
      <c r="D123" t="s">
        <v>178</v>
      </c>
      <c r="E123" t="s">
        <v>187</v>
      </c>
      <c r="F123">
        <v>250000</v>
      </c>
    </row>
    <row r="124">
      <c r="A124" t="s">
        <v>31</v>
      </c>
      <c r="B124" t="s">
        <v>32</v>
      </c>
      <c r="C124" t="s">
        <v>188</v>
      </c>
      <c r="D124" t="s">
        <v>171</v>
      </c>
      <c r="E124" t="s">
        <v>189</v>
      </c>
    </row>
    <row r="126">
      <c r="A126" t="s">
        <v>35</v>
      </c>
      <c r="B126" t="s">
        <v>36</v>
      </c>
      <c r="C126" t="s">
        <v>97</v>
      </c>
      <c r="D126" t="s">
        <v>98</v>
      </c>
      <c r="E126" t="s">
        <v>292</v>
      </c>
      <c r="F126">
        <v>220000</v>
      </c>
      <c r="G126" t="s">
        <v>293</v>
      </c>
      <c r="H126">
        <v>450000</v>
      </c>
    </row>
    <row r="127">
      <c r="A127" t="s">
        <v>35</v>
      </c>
      <c r="B127" t="s">
        <v>36</v>
      </c>
      <c r="C127" t="s">
        <v>70</v>
      </c>
      <c r="D127" t="s">
        <v>101</v>
      </c>
      <c r="E127" t="s">
        <v>102</v>
      </c>
      <c r="F127">
        <v>1</v>
      </c>
      <c r="G127" t="s">
        <v>294</v>
      </c>
      <c r="H127">
        <v>2.0454545454545454</v>
      </c>
    </row>
    <row r="128">
      <c r="A128" t="s">
        <v>35</v>
      </c>
      <c r="B128" t="s">
        <v>36</v>
      </c>
      <c r="C128" t="s">
        <v>72</v>
      </c>
      <c r="D128" t="s">
        <v>104</v>
      </c>
      <c r="E128" t="s">
        <v>295</v>
      </c>
      <c r="F128">
        <v>320</v>
      </c>
      <c r="G128" t="s">
        <v>296</v>
      </c>
      <c r="H128">
        <v>654.5454545454545</v>
      </c>
    </row>
    <row r="129">
      <c r="A129" t="s">
        <v>35</v>
      </c>
      <c r="B129" t="s">
        <v>36</v>
      </c>
      <c r="C129" t="s">
        <v>107</v>
      </c>
      <c r="D129" t="s">
        <v>108</v>
      </c>
      <c r="E129" t="s">
        <v>297</v>
      </c>
      <c r="F129">
        <v>1267200</v>
      </c>
      <c r="G129" t="s">
        <v>298</v>
      </c>
      <c r="H129">
        <v>2592000</v>
      </c>
    </row>
    <row r="130">
      <c r="A130" t="s">
        <v>35</v>
      </c>
      <c r="B130" t="s">
        <v>36</v>
      </c>
      <c r="C130" t="s">
        <v>111</v>
      </c>
      <c r="D130" t="s">
        <v>112</v>
      </c>
      <c r="E130" t="s">
        <v>299</v>
      </c>
      <c r="F130">
        <v>30400000</v>
      </c>
      <c r="G130" t="s">
        <v>300</v>
      </c>
      <c r="H130">
        <v>62181818.18181818</v>
      </c>
    </row>
    <row r="131">
      <c r="A131" t="s">
        <v>35</v>
      </c>
      <c r="B131" t="s">
        <v>36</v>
      </c>
      <c r="C131" t="s">
        <v>115</v>
      </c>
      <c r="D131" t="s">
        <v>116</v>
      </c>
      <c r="E131" t="s">
        <v>301</v>
      </c>
      <c r="F131">
        <v>23.98989898989899</v>
      </c>
      <c r="G131" t="s">
        <v>301</v>
      </c>
      <c r="H131">
        <v>23.98989898989899</v>
      </c>
    </row>
    <row r="132">
      <c r="A132" t="s">
        <v>35</v>
      </c>
      <c r="B132" t="s">
        <v>36</v>
      </c>
      <c r="C132" t="s">
        <v>118</v>
      </c>
      <c r="D132" t="s">
        <v>119</v>
      </c>
      <c r="E132" t="s">
        <v>120</v>
      </c>
      <c r="F132">
        <v>8760</v>
      </c>
      <c r="G132" t="s">
        <v>120</v>
      </c>
      <c r="H132">
        <v>8760</v>
      </c>
    </row>
    <row r="133">
      <c r="A133" t="s">
        <v>35</v>
      </c>
      <c r="B133" t="s">
        <v>36</v>
      </c>
      <c r="C133" t="s">
        <v>121</v>
      </c>
      <c r="D133" t="s">
        <v>122</v>
      </c>
      <c r="E133" t="s">
        <v>302</v>
      </c>
      <c r="F133">
        <v>144.65753424657535</v>
      </c>
      <c r="G133" t="s">
        <v>303</v>
      </c>
      <c r="H133">
        <v>295.8904109589041</v>
      </c>
    </row>
    <row r="134">
      <c r="A134" t="s">
        <v>35</v>
      </c>
      <c r="B134" t="s">
        <v>36</v>
      </c>
      <c r="C134" t="s">
        <v>125</v>
      </c>
      <c r="D134" t="s">
        <v>126</v>
      </c>
      <c r="E134" t="s">
        <v>304</v>
      </c>
      <c r="F134">
        <v>145</v>
      </c>
      <c r="G134" t="s">
        <v>305</v>
      </c>
      <c r="H134">
        <v>296</v>
      </c>
    </row>
    <row r="135">
      <c r="A135" t="s">
        <v>35</v>
      </c>
      <c r="B135" t="s">
        <v>36</v>
      </c>
      <c r="C135" t="s">
        <v>129</v>
      </c>
      <c r="D135" t="s">
        <v>130</v>
      </c>
      <c r="E135" t="s">
        <v>306</v>
      </c>
      <c r="F135">
        <v>36.25</v>
      </c>
      <c r="G135" t="s">
        <v>307</v>
      </c>
      <c r="H135">
        <v>49.333333333333336</v>
      </c>
    </row>
    <row r="136">
      <c r="A136" t="s">
        <v>35</v>
      </c>
      <c r="B136" t="s">
        <v>36</v>
      </c>
      <c r="C136" t="s">
        <v>133</v>
      </c>
      <c r="D136" t="s">
        <v>134</v>
      </c>
      <c r="E136" t="s">
        <v>308</v>
      </c>
      <c r="F136">
        <v>37</v>
      </c>
      <c r="G136" t="s">
        <v>309</v>
      </c>
      <c r="H136">
        <v>50</v>
      </c>
    </row>
    <row r="137">
      <c r="A137" t="s">
        <v>35</v>
      </c>
      <c r="B137" t="s">
        <v>36</v>
      </c>
      <c r="C137" t="s">
        <v>137</v>
      </c>
      <c r="D137" t="s">
        <v>138</v>
      </c>
      <c r="E137" t="s">
        <v>310</v>
      </c>
      <c r="F137">
        <v>9485000</v>
      </c>
      <c r="G137" t="s">
        <v>311</v>
      </c>
      <c r="H137">
        <v>17320000</v>
      </c>
    </row>
    <row r="138">
      <c r="A138" t="s">
        <v>35</v>
      </c>
      <c r="B138" t="s">
        <v>36</v>
      </c>
      <c r="C138" t="s">
        <v>82</v>
      </c>
      <c r="D138" t="s">
        <v>141</v>
      </c>
      <c r="E138" t="s">
        <v>312</v>
      </c>
      <c r="F138">
        <v>20915000</v>
      </c>
      <c r="G138" t="s">
        <v>313</v>
      </c>
      <c r="H138">
        <v>44861818.18181818</v>
      </c>
    </row>
    <row r="139">
      <c r="A139" t="s">
        <v>35</v>
      </c>
      <c r="B139" t="s">
        <v>36</v>
      </c>
      <c r="C139" t="s">
        <v>83</v>
      </c>
      <c r="D139" t="s">
        <v>144</v>
      </c>
      <c r="E139" t="s">
        <v>314</v>
      </c>
      <c r="F139">
        <v>0.31200657894736844</v>
      </c>
      <c r="G139" t="s">
        <v>315</v>
      </c>
      <c r="H139">
        <v>0.2785380116959064</v>
      </c>
    </row>
    <row r="140">
      <c r="A140" t="s">
        <v>35</v>
      </c>
      <c r="B140" t="s">
        <v>36</v>
      </c>
      <c r="C140" t="s">
        <v>147</v>
      </c>
      <c r="D140" t="s">
        <v>148</v>
      </c>
      <c r="E140" t="s">
        <v>316</v>
      </c>
      <c r="F140">
        <v>2.2050606220347917</v>
      </c>
      <c r="G140" t="s">
        <v>317</v>
      </c>
      <c r="H140">
        <v>2.5901742599202184</v>
      </c>
    </row>
    <row r="141">
      <c r="A141" t="s">
        <v>35</v>
      </c>
      <c r="B141" t="s">
        <v>36</v>
      </c>
      <c r="C141" t="s">
        <v>151</v>
      </c>
      <c r="D141" t="s">
        <v>152</v>
      </c>
      <c r="E141" t="s">
        <v>318</v>
      </c>
      <c r="F141">
        <v>0.14343772412144393</v>
      </c>
      <c r="G141" t="s">
        <v>319</v>
      </c>
      <c r="H141">
        <v>0.0668720110237497</v>
      </c>
    </row>
    <row r="142">
      <c r="A142" t="s">
        <v>35</v>
      </c>
      <c r="B142" t="s">
        <v>36</v>
      </c>
      <c r="C142" t="s">
        <v>85</v>
      </c>
      <c r="D142" t="s">
        <v>155</v>
      </c>
      <c r="E142" t="s">
        <v>320</v>
      </c>
      <c r="F142">
        <v>2.212121212121212</v>
      </c>
      <c r="G142" t="s">
        <v>320</v>
      </c>
      <c r="H142">
        <v>2.212121212121212</v>
      </c>
    </row>
    <row r="143">
      <c r="A143" t="s">
        <v>35</v>
      </c>
      <c r="B143" t="s">
        <v>36</v>
      </c>
      <c r="C143" t="s">
        <v>157</v>
      </c>
      <c r="D143" t="s">
        <v>158</v>
      </c>
      <c r="E143" t="s">
        <v>321</v>
      </c>
      <c r="F143">
        <v>138.1818181818182</v>
      </c>
      <c r="G143" t="s">
        <v>322</v>
      </c>
      <c r="H143">
        <v>138.1818181818182</v>
      </c>
    </row>
    <row r="144">
      <c r="A144" t="s">
        <v>35</v>
      </c>
      <c r="B144" t="s">
        <v>36</v>
      </c>
      <c r="C144" t="s">
        <v>161</v>
      </c>
      <c r="D144" t="s">
        <v>162</v>
      </c>
      <c r="E144" t="s">
        <v>323</v>
      </c>
      <c r="F144">
        <v>43.11363636363637</v>
      </c>
      <c r="G144" t="s">
        <v>324</v>
      </c>
      <c r="H144">
        <v>38.48888888888889</v>
      </c>
    </row>
    <row r="145">
      <c r="A145" t="s">
        <v>35</v>
      </c>
      <c r="B145" t="s">
        <v>36</v>
      </c>
      <c r="C145" t="s">
        <v>165</v>
      </c>
      <c r="D145" t="s">
        <v>166</v>
      </c>
      <c r="E145" t="s">
        <v>325</v>
      </c>
      <c r="F145">
        <v>95.06818181818181</v>
      </c>
      <c r="G145" t="s">
        <v>326</v>
      </c>
      <c r="H145">
        <v>99.69292929292929</v>
      </c>
    </row>
    <row r="146">
      <c r="A146" t="s">
        <v>35</v>
      </c>
      <c r="B146" t="s">
        <v>36</v>
      </c>
      <c r="C146" t="s">
        <v>169</v>
      </c>
    </row>
    <row r="147">
      <c r="A147" t="s">
        <v>35</v>
      </c>
      <c r="B147" t="s">
        <v>36</v>
      </c>
      <c r="C147" t="s">
        <v>170</v>
      </c>
      <c r="D147" t="s">
        <v>171</v>
      </c>
      <c r="E147" t="s">
        <v>172</v>
      </c>
      <c r="F147">
        <v>24</v>
      </c>
    </row>
    <row r="148">
      <c r="A148" t="s">
        <v>35</v>
      </c>
      <c r="B148" t="s">
        <v>36</v>
      </c>
      <c r="C148" t="s">
        <v>173</v>
      </c>
      <c r="D148" t="s">
        <v>171</v>
      </c>
      <c r="E148" t="s">
        <v>174</v>
      </c>
      <c r="F148">
        <v>365</v>
      </c>
    </row>
    <row r="149">
      <c r="A149" t="s">
        <v>35</v>
      </c>
      <c r="B149" t="s">
        <v>36</v>
      </c>
      <c r="C149" t="s">
        <v>175</v>
      </c>
      <c r="D149" t="s">
        <v>171</v>
      </c>
      <c r="E149" t="s">
        <v>176</v>
      </c>
      <c r="F149">
        <v>1</v>
      </c>
    </row>
    <row r="150">
      <c r="A150" t="s">
        <v>35</v>
      </c>
      <c r="B150" t="s">
        <v>36</v>
      </c>
      <c r="C150" t="s">
        <v>177</v>
      </c>
      <c r="D150" t="s">
        <v>178</v>
      </c>
      <c r="E150" t="s">
        <v>179</v>
      </c>
      <c r="F150">
        <v>45000</v>
      </c>
    </row>
    <row r="151">
      <c r="A151" t="s">
        <v>35</v>
      </c>
      <c r="B151" t="s">
        <v>36</v>
      </c>
      <c r="C151" t="s">
        <v>180</v>
      </c>
      <c r="D151" t="s">
        <v>178</v>
      </c>
      <c r="E151" t="s">
        <v>181</v>
      </c>
      <c r="F151">
        <v>80000</v>
      </c>
    </row>
    <row r="152">
      <c r="A152" t="s">
        <v>35</v>
      </c>
      <c r="B152" t="s">
        <v>36</v>
      </c>
      <c r="C152" t="s">
        <v>182</v>
      </c>
      <c r="D152" t="s">
        <v>171</v>
      </c>
      <c r="E152" t="s">
        <v>183</v>
      </c>
      <c r="F152">
        <v>4</v>
      </c>
    </row>
    <row r="153">
      <c r="A153" t="s">
        <v>35</v>
      </c>
      <c r="B153" t="s">
        <v>36</v>
      </c>
      <c r="C153" t="s">
        <v>184</v>
      </c>
      <c r="D153" t="s">
        <v>171</v>
      </c>
      <c r="E153" t="s">
        <v>185</v>
      </c>
      <c r="F153">
        <v>6</v>
      </c>
    </row>
    <row r="154">
      <c r="A154" t="s">
        <v>35</v>
      </c>
      <c r="B154" t="s">
        <v>36</v>
      </c>
      <c r="C154" t="s">
        <v>186</v>
      </c>
      <c r="D154" t="s">
        <v>178</v>
      </c>
      <c r="E154" t="s">
        <v>187</v>
      </c>
      <c r="F154">
        <v>250000</v>
      </c>
    </row>
    <row r="155">
      <c r="A155" t="s">
        <v>35</v>
      </c>
      <c r="B155" t="s">
        <v>36</v>
      </c>
      <c r="C155" t="s">
        <v>188</v>
      </c>
      <c r="D155" t="s">
        <v>171</v>
      </c>
      <c r="E155" t="s">
        <v>189</v>
      </c>
    </row>
    <row r="157">
      <c r="A157" t="s">
        <v>39</v>
      </c>
      <c r="B157" t="s">
        <v>40</v>
      </c>
      <c r="C157" t="s">
        <v>97</v>
      </c>
      <c r="D157" t="s">
        <v>98</v>
      </c>
      <c r="E157" t="s">
        <v>327</v>
      </c>
      <c r="F157">
        <v>80000</v>
      </c>
      <c r="G157" t="s">
        <v>328</v>
      </c>
      <c r="H157">
        <v>150000</v>
      </c>
    </row>
    <row r="158">
      <c r="A158" t="s">
        <v>39</v>
      </c>
      <c r="B158" t="s">
        <v>40</v>
      </c>
      <c r="C158" t="s">
        <v>70</v>
      </c>
      <c r="D158" t="s">
        <v>101</v>
      </c>
      <c r="E158" t="s">
        <v>102</v>
      </c>
      <c r="F158">
        <v>1</v>
      </c>
      <c r="G158" t="s">
        <v>329</v>
      </c>
      <c r="H158">
        <v>1.875</v>
      </c>
    </row>
    <row r="159">
      <c r="A159" t="s">
        <v>39</v>
      </c>
      <c r="B159" t="s">
        <v>40</v>
      </c>
      <c r="C159" t="s">
        <v>72</v>
      </c>
      <c r="D159" t="s">
        <v>104</v>
      </c>
      <c r="E159" t="s">
        <v>330</v>
      </c>
      <c r="F159">
        <v>90</v>
      </c>
      <c r="G159" t="s">
        <v>331</v>
      </c>
      <c r="H159">
        <v>168.75</v>
      </c>
    </row>
    <row r="160">
      <c r="A160" t="s">
        <v>39</v>
      </c>
      <c r="B160" t="s">
        <v>40</v>
      </c>
      <c r="C160" t="s">
        <v>107</v>
      </c>
      <c r="D160" t="s">
        <v>108</v>
      </c>
      <c r="E160" t="s">
        <v>332</v>
      </c>
      <c r="F160">
        <v>223200</v>
      </c>
      <c r="G160" t="s">
        <v>333</v>
      </c>
      <c r="H160">
        <v>418500</v>
      </c>
    </row>
    <row r="161">
      <c r="A161" t="s">
        <v>39</v>
      </c>
      <c r="B161" t="s">
        <v>40</v>
      </c>
      <c r="C161" t="s">
        <v>111</v>
      </c>
      <c r="D161" t="s">
        <v>112</v>
      </c>
      <c r="E161" t="s">
        <v>334</v>
      </c>
      <c r="F161">
        <v>7380000</v>
      </c>
      <c r="G161" t="s">
        <v>335</v>
      </c>
      <c r="H161">
        <v>13837500</v>
      </c>
    </row>
    <row r="162">
      <c r="A162" t="s">
        <v>39</v>
      </c>
      <c r="B162" t="s">
        <v>40</v>
      </c>
      <c r="C162" t="s">
        <v>115</v>
      </c>
      <c r="D162" t="s">
        <v>116</v>
      </c>
      <c r="E162" t="s">
        <v>336</v>
      </c>
      <c r="F162">
        <v>33.064516129032256</v>
      </c>
      <c r="G162" t="s">
        <v>336</v>
      </c>
      <c r="H162">
        <v>33.064516129032256</v>
      </c>
    </row>
    <row r="163">
      <c r="A163" t="s">
        <v>39</v>
      </c>
      <c r="B163" t="s">
        <v>40</v>
      </c>
      <c r="C163" t="s">
        <v>118</v>
      </c>
      <c r="D163" t="s">
        <v>119</v>
      </c>
      <c r="E163" t="s">
        <v>120</v>
      </c>
      <c r="F163">
        <v>8760</v>
      </c>
      <c r="G163" t="s">
        <v>120</v>
      </c>
      <c r="H163">
        <v>8760</v>
      </c>
    </row>
    <row r="164">
      <c r="A164" t="s">
        <v>39</v>
      </c>
      <c r="B164" t="s">
        <v>40</v>
      </c>
      <c r="C164" t="s">
        <v>121</v>
      </c>
      <c r="D164" t="s">
        <v>122</v>
      </c>
      <c r="E164" t="s">
        <v>337</v>
      </c>
      <c r="F164">
        <v>25.47945205479452</v>
      </c>
      <c r="G164" t="s">
        <v>338</v>
      </c>
      <c r="H164">
        <v>47.773972602739725</v>
      </c>
    </row>
    <row r="165">
      <c r="A165" t="s">
        <v>39</v>
      </c>
      <c r="B165" t="s">
        <v>40</v>
      </c>
      <c r="C165" t="s">
        <v>125</v>
      </c>
      <c r="D165" t="s">
        <v>126</v>
      </c>
      <c r="E165" t="s">
        <v>339</v>
      </c>
      <c r="F165">
        <v>26</v>
      </c>
      <c r="G165" t="s">
        <v>340</v>
      </c>
      <c r="H165">
        <v>48</v>
      </c>
    </row>
    <row r="166">
      <c r="A166" t="s">
        <v>39</v>
      </c>
      <c r="B166" t="s">
        <v>40</v>
      </c>
      <c r="C166" t="s">
        <v>129</v>
      </c>
      <c r="D166" t="s">
        <v>130</v>
      </c>
      <c r="E166" t="s">
        <v>341</v>
      </c>
      <c r="F166">
        <v>6.5</v>
      </c>
      <c r="G166" t="s">
        <v>342</v>
      </c>
      <c r="H166">
        <v>8</v>
      </c>
    </row>
    <row r="167">
      <c r="A167" t="s">
        <v>39</v>
      </c>
      <c r="B167" t="s">
        <v>40</v>
      </c>
      <c r="C167" t="s">
        <v>133</v>
      </c>
      <c r="D167" t="s">
        <v>134</v>
      </c>
      <c r="E167" t="s">
        <v>343</v>
      </c>
      <c r="F167">
        <v>7</v>
      </c>
      <c r="G167" t="s">
        <v>344</v>
      </c>
      <c r="H167">
        <v>8</v>
      </c>
    </row>
    <row r="168">
      <c r="A168" t="s">
        <v>39</v>
      </c>
      <c r="B168" t="s">
        <v>40</v>
      </c>
      <c r="C168" t="s">
        <v>137</v>
      </c>
      <c r="D168" t="s">
        <v>138</v>
      </c>
      <c r="E168" t="s">
        <v>345</v>
      </c>
      <c r="F168">
        <v>1730000</v>
      </c>
      <c r="G168" t="s">
        <v>346</v>
      </c>
      <c r="H168">
        <v>2800000</v>
      </c>
    </row>
    <row r="169">
      <c r="A169" t="s">
        <v>39</v>
      </c>
      <c r="B169" t="s">
        <v>40</v>
      </c>
      <c r="C169" t="s">
        <v>82</v>
      </c>
      <c r="D169" t="s">
        <v>141</v>
      </c>
      <c r="E169" t="s">
        <v>347</v>
      </c>
      <c r="F169">
        <v>5650000</v>
      </c>
      <c r="G169" t="s">
        <v>348</v>
      </c>
      <c r="H169">
        <v>11037500</v>
      </c>
    </row>
    <row r="170">
      <c r="A170" t="s">
        <v>39</v>
      </c>
      <c r="B170" t="s">
        <v>40</v>
      </c>
      <c r="C170" t="s">
        <v>83</v>
      </c>
      <c r="D170" t="s">
        <v>144</v>
      </c>
      <c r="E170" t="s">
        <v>349</v>
      </c>
      <c r="F170">
        <v>0.23441734417344173</v>
      </c>
      <c r="G170" t="s">
        <v>350</v>
      </c>
      <c r="H170">
        <v>0.2023486901535682</v>
      </c>
    </row>
    <row r="171">
      <c r="A171" t="s">
        <v>39</v>
      </c>
      <c r="B171" t="s">
        <v>40</v>
      </c>
      <c r="C171" t="s">
        <v>147</v>
      </c>
      <c r="D171" t="s">
        <v>148</v>
      </c>
      <c r="E171" t="s">
        <v>351</v>
      </c>
      <c r="F171">
        <v>3.2658959537572256</v>
      </c>
      <c r="G171" t="s">
        <v>352</v>
      </c>
      <c r="H171">
        <v>3.9419642857142856</v>
      </c>
    </row>
    <row r="172">
      <c r="A172" t="s">
        <v>39</v>
      </c>
      <c r="B172" t="s">
        <v>40</v>
      </c>
      <c r="C172" t="s">
        <v>151</v>
      </c>
      <c r="D172" t="s">
        <v>152</v>
      </c>
      <c r="E172" t="s">
        <v>353</v>
      </c>
      <c r="F172">
        <v>0.5309734513274337</v>
      </c>
      <c r="G172" t="s">
        <v>354</v>
      </c>
      <c r="H172">
        <v>0.2718006795016988</v>
      </c>
    </row>
    <row r="173">
      <c r="A173" t="s">
        <v>39</v>
      </c>
      <c r="B173" t="s">
        <v>40</v>
      </c>
      <c r="C173" t="s">
        <v>85</v>
      </c>
      <c r="D173" t="s">
        <v>155</v>
      </c>
      <c r="E173" t="s">
        <v>355</v>
      </c>
      <c r="F173">
        <v>3.532258064516129</v>
      </c>
      <c r="G173" t="s">
        <v>355</v>
      </c>
      <c r="H173">
        <v>3.532258064516129</v>
      </c>
    </row>
    <row r="174">
      <c r="A174" t="s">
        <v>39</v>
      </c>
      <c r="B174" t="s">
        <v>40</v>
      </c>
      <c r="C174" t="s">
        <v>157</v>
      </c>
      <c r="D174" t="s">
        <v>158</v>
      </c>
      <c r="E174" t="s">
        <v>356</v>
      </c>
      <c r="F174">
        <v>92.25</v>
      </c>
      <c r="G174" t="s">
        <v>357</v>
      </c>
      <c r="H174">
        <v>92.25</v>
      </c>
    </row>
    <row r="175">
      <c r="A175" t="s">
        <v>39</v>
      </c>
      <c r="B175" t="s">
        <v>40</v>
      </c>
      <c r="C175" t="s">
        <v>161</v>
      </c>
      <c r="D175" t="s">
        <v>162</v>
      </c>
      <c r="E175" t="s">
        <v>358</v>
      </c>
      <c r="F175">
        <v>21.625</v>
      </c>
      <c r="G175" t="s">
        <v>359</v>
      </c>
      <c r="H175">
        <v>18.666666666666668</v>
      </c>
    </row>
    <row r="176">
      <c r="A176" t="s">
        <v>39</v>
      </c>
      <c r="B176" t="s">
        <v>40</v>
      </c>
      <c r="C176" t="s">
        <v>165</v>
      </c>
      <c r="D176" t="s">
        <v>166</v>
      </c>
      <c r="E176" t="s">
        <v>360</v>
      </c>
      <c r="F176">
        <v>70.625</v>
      </c>
      <c r="G176" t="s">
        <v>361</v>
      </c>
      <c r="H176">
        <v>73.58333333333333</v>
      </c>
    </row>
    <row r="177">
      <c r="A177" t="s">
        <v>39</v>
      </c>
      <c r="B177" t="s">
        <v>40</v>
      </c>
      <c r="C177" t="s">
        <v>169</v>
      </c>
    </row>
    <row r="178">
      <c r="A178" t="s">
        <v>39</v>
      </c>
      <c r="B178" t="s">
        <v>40</v>
      </c>
      <c r="C178" t="s">
        <v>170</v>
      </c>
      <c r="D178" t="s">
        <v>171</v>
      </c>
      <c r="E178" t="s">
        <v>172</v>
      </c>
      <c r="F178">
        <v>24</v>
      </c>
    </row>
    <row r="179">
      <c r="A179" t="s">
        <v>39</v>
      </c>
      <c r="B179" t="s">
        <v>40</v>
      </c>
      <c r="C179" t="s">
        <v>173</v>
      </c>
      <c r="D179" t="s">
        <v>171</v>
      </c>
      <c r="E179" t="s">
        <v>174</v>
      </c>
      <c r="F179">
        <v>365</v>
      </c>
    </row>
    <row r="180">
      <c r="A180" t="s">
        <v>39</v>
      </c>
      <c r="B180" t="s">
        <v>40</v>
      </c>
      <c r="C180" t="s">
        <v>175</v>
      </c>
      <c r="D180" t="s">
        <v>171</v>
      </c>
      <c r="E180" t="s">
        <v>176</v>
      </c>
      <c r="F180">
        <v>1</v>
      </c>
    </row>
    <row r="181">
      <c r="A181" t="s">
        <v>39</v>
      </c>
      <c r="B181" t="s">
        <v>40</v>
      </c>
      <c r="C181" t="s">
        <v>177</v>
      </c>
      <c r="D181" t="s">
        <v>178</v>
      </c>
      <c r="E181" t="s">
        <v>179</v>
      </c>
      <c r="F181">
        <v>45000</v>
      </c>
    </row>
    <row r="182">
      <c r="A182" t="s">
        <v>39</v>
      </c>
      <c r="B182" t="s">
        <v>40</v>
      </c>
      <c r="C182" t="s">
        <v>180</v>
      </c>
      <c r="D182" t="s">
        <v>178</v>
      </c>
      <c r="E182" t="s">
        <v>181</v>
      </c>
      <c r="F182">
        <v>80000</v>
      </c>
    </row>
    <row r="183">
      <c r="A183" t="s">
        <v>39</v>
      </c>
      <c r="B183" t="s">
        <v>40</v>
      </c>
      <c r="C183" t="s">
        <v>182</v>
      </c>
      <c r="D183" t="s">
        <v>171</v>
      </c>
      <c r="E183" t="s">
        <v>183</v>
      </c>
      <c r="F183">
        <v>4</v>
      </c>
    </row>
    <row r="184">
      <c r="A184" t="s">
        <v>39</v>
      </c>
      <c r="B184" t="s">
        <v>40</v>
      </c>
      <c r="C184" t="s">
        <v>184</v>
      </c>
      <c r="D184" t="s">
        <v>171</v>
      </c>
      <c r="E184" t="s">
        <v>185</v>
      </c>
      <c r="F184">
        <v>6</v>
      </c>
    </row>
    <row r="185">
      <c r="A185" t="s">
        <v>39</v>
      </c>
      <c r="B185" t="s">
        <v>40</v>
      </c>
      <c r="C185" t="s">
        <v>186</v>
      </c>
      <c r="D185" t="s">
        <v>178</v>
      </c>
      <c r="E185" t="s">
        <v>187</v>
      </c>
      <c r="F185">
        <v>250000</v>
      </c>
    </row>
    <row r="186">
      <c r="A186" t="s">
        <v>39</v>
      </c>
      <c r="B186" t="s">
        <v>40</v>
      </c>
      <c r="C186" t="s">
        <v>188</v>
      </c>
      <c r="D186" t="s">
        <v>171</v>
      </c>
      <c r="E186" t="s">
        <v>189</v>
      </c>
    </row>
    <row r="188">
      <c r="A188" t="s">
        <v>42</v>
      </c>
      <c r="B188" t="s">
        <v>43</v>
      </c>
      <c r="C188" t="s">
        <v>97</v>
      </c>
      <c r="D188" t="s">
        <v>98</v>
      </c>
      <c r="E188" t="s">
        <v>362</v>
      </c>
      <c r="F188">
        <v>70000</v>
      </c>
      <c r="G188" t="s">
        <v>363</v>
      </c>
      <c r="H188">
        <v>140000</v>
      </c>
    </row>
    <row r="189">
      <c r="A189" t="s">
        <v>42</v>
      </c>
      <c r="B189" t="s">
        <v>43</v>
      </c>
      <c r="C189" t="s">
        <v>70</v>
      </c>
      <c r="D189" t="s">
        <v>101</v>
      </c>
      <c r="E189" t="s">
        <v>102</v>
      </c>
      <c r="F189">
        <v>1</v>
      </c>
      <c r="G189" t="s">
        <v>364</v>
      </c>
      <c r="H189">
        <v>2</v>
      </c>
    </row>
    <row r="190">
      <c r="A190" t="s">
        <v>42</v>
      </c>
      <c r="B190" t="s">
        <v>43</v>
      </c>
      <c r="C190" t="s">
        <v>72</v>
      </c>
      <c r="D190" t="s">
        <v>104</v>
      </c>
      <c r="E190" t="s">
        <v>365</v>
      </c>
      <c r="F190">
        <v>85</v>
      </c>
      <c r="G190" t="s">
        <v>366</v>
      </c>
      <c r="H190">
        <v>170</v>
      </c>
    </row>
    <row r="191">
      <c r="A191" t="s">
        <v>42</v>
      </c>
      <c r="B191" t="s">
        <v>43</v>
      </c>
      <c r="C191" t="s">
        <v>107</v>
      </c>
      <c r="D191" t="s">
        <v>108</v>
      </c>
      <c r="E191" t="s">
        <v>367</v>
      </c>
      <c r="F191">
        <v>204000</v>
      </c>
      <c r="G191" t="s">
        <v>368</v>
      </c>
      <c r="H191">
        <v>408000</v>
      </c>
    </row>
    <row r="192">
      <c r="A192" t="s">
        <v>42</v>
      </c>
      <c r="B192" t="s">
        <v>43</v>
      </c>
      <c r="C192" t="s">
        <v>111</v>
      </c>
      <c r="D192" t="s">
        <v>112</v>
      </c>
      <c r="E192" t="s">
        <v>369</v>
      </c>
      <c r="F192">
        <v>5525000</v>
      </c>
      <c r="G192" t="s">
        <v>370</v>
      </c>
      <c r="H192">
        <v>11050000</v>
      </c>
    </row>
    <row r="193">
      <c r="A193" t="s">
        <v>42</v>
      </c>
      <c r="B193" t="s">
        <v>43</v>
      </c>
      <c r="C193" t="s">
        <v>115</v>
      </c>
      <c r="D193" t="s">
        <v>116</v>
      </c>
      <c r="E193" t="s">
        <v>371</v>
      </c>
      <c r="F193">
        <v>27.083333333333332</v>
      </c>
      <c r="G193" t="s">
        <v>371</v>
      </c>
      <c r="H193">
        <v>27.083333333333332</v>
      </c>
    </row>
    <row r="194">
      <c r="A194" t="s">
        <v>42</v>
      </c>
      <c r="B194" t="s">
        <v>43</v>
      </c>
      <c r="C194" t="s">
        <v>118</v>
      </c>
      <c r="D194" t="s">
        <v>119</v>
      </c>
      <c r="E194" t="s">
        <v>120</v>
      </c>
      <c r="F194">
        <v>8760</v>
      </c>
      <c r="G194" t="s">
        <v>120</v>
      </c>
      <c r="H194">
        <v>8760</v>
      </c>
    </row>
    <row r="195">
      <c r="A195" t="s">
        <v>42</v>
      </c>
      <c r="B195" t="s">
        <v>43</v>
      </c>
      <c r="C195" t="s">
        <v>121</v>
      </c>
      <c r="D195" t="s">
        <v>122</v>
      </c>
      <c r="E195" t="s">
        <v>372</v>
      </c>
      <c r="F195">
        <v>23.28767123287671</v>
      </c>
      <c r="G195" t="s">
        <v>373</v>
      </c>
      <c r="H195">
        <v>46.57534246575342</v>
      </c>
    </row>
    <row r="196">
      <c r="A196" t="s">
        <v>42</v>
      </c>
      <c r="B196" t="s">
        <v>43</v>
      </c>
      <c r="C196" t="s">
        <v>125</v>
      </c>
      <c r="D196" t="s">
        <v>126</v>
      </c>
      <c r="E196" t="s">
        <v>374</v>
      </c>
      <c r="F196">
        <v>24</v>
      </c>
      <c r="G196" t="s">
        <v>375</v>
      </c>
      <c r="H196">
        <v>47</v>
      </c>
    </row>
    <row r="197">
      <c r="A197" t="s">
        <v>42</v>
      </c>
      <c r="B197" t="s">
        <v>43</v>
      </c>
      <c r="C197" t="s">
        <v>129</v>
      </c>
      <c r="D197" t="s">
        <v>130</v>
      </c>
      <c r="E197" t="s">
        <v>376</v>
      </c>
      <c r="F197">
        <v>6</v>
      </c>
      <c r="G197" t="s">
        <v>377</v>
      </c>
      <c r="H197">
        <v>7.833333333333333</v>
      </c>
    </row>
    <row r="198">
      <c r="A198" t="s">
        <v>42</v>
      </c>
      <c r="B198" t="s">
        <v>43</v>
      </c>
      <c r="C198" t="s">
        <v>133</v>
      </c>
      <c r="D198" t="s">
        <v>134</v>
      </c>
      <c r="E198" t="s">
        <v>378</v>
      </c>
      <c r="F198">
        <v>6</v>
      </c>
      <c r="G198" t="s">
        <v>379</v>
      </c>
      <c r="H198">
        <v>8</v>
      </c>
    </row>
    <row r="199">
      <c r="A199" t="s">
        <v>42</v>
      </c>
      <c r="B199" t="s">
        <v>43</v>
      </c>
      <c r="C199" t="s">
        <v>137</v>
      </c>
      <c r="D199" t="s">
        <v>138</v>
      </c>
      <c r="E199" t="s">
        <v>380</v>
      </c>
      <c r="F199">
        <v>1560000</v>
      </c>
      <c r="G199" t="s">
        <v>381</v>
      </c>
      <c r="H199">
        <v>2755000</v>
      </c>
    </row>
    <row r="200">
      <c r="A200" t="s">
        <v>42</v>
      </c>
      <c r="B200" t="s">
        <v>43</v>
      </c>
      <c r="C200" t="s">
        <v>82</v>
      </c>
      <c r="D200" t="s">
        <v>141</v>
      </c>
      <c r="E200" t="s">
        <v>382</v>
      </c>
      <c r="F200">
        <v>3965000</v>
      </c>
      <c r="G200" t="s">
        <v>383</v>
      </c>
      <c r="H200">
        <v>8295000</v>
      </c>
    </row>
    <row r="201">
      <c r="A201" t="s">
        <v>42</v>
      </c>
      <c r="B201" t="s">
        <v>43</v>
      </c>
      <c r="C201" t="s">
        <v>83</v>
      </c>
      <c r="D201" t="s">
        <v>144</v>
      </c>
      <c r="E201" t="s">
        <v>384</v>
      </c>
      <c r="F201">
        <v>0.2823529411764706</v>
      </c>
      <c r="G201" t="s">
        <v>385</v>
      </c>
      <c r="H201">
        <v>0.2493212669683258</v>
      </c>
    </row>
    <row r="202">
      <c r="A202" t="s">
        <v>42</v>
      </c>
      <c r="B202" t="s">
        <v>43</v>
      </c>
      <c r="C202" t="s">
        <v>147</v>
      </c>
      <c r="D202" t="s">
        <v>148</v>
      </c>
      <c r="E202" t="s">
        <v>386</v>
      </c>
      <c r="F202">
        <v>2.5416666666666665</v>
      </c>
      <c r="G202" t="s">
        <v>387</v>
      </c>
      <c r="H202">
        <v>3.010889292196007</v>
      </c>
    </row>
    <row r="203">
      <c r="A203" t="s">
        <v>42</v>
      </c>
      <c r="B203" t="s">
        <v>43</v>
      </c>
      <c r="C203" t="s">
        <v>151</v>
      </c>
      <c r="D203" t="s">
        <v>152</v>
      </c>
      <c r="E203" t="s">
        <v>388</v>
      </c>
      <c r="F203">
        <v>0.7566204287515762</v>
      </c>
      <c r="G203" t="s">
        <v>389</v>
      </c>
      <c r="H203">
        <v>0.3616636528028933</v>
      </c>
    </row>
    <row r="204">
      <c r="A204" t="s">
        <v>42</v>
      </c>
      <c r="B204" t="s">
        <v>43</v>
      </c>
      <c r="C204" t="s">
        <v>85</v>
      </c>
      <c r="D204" t="s">
        <v>155</v>
      </c>
      <c r="E204" t="s">
        <v>156</v>
      </c>
      <c r="F204">
        <v>3.65</v>
      </c>
      <c r="G204" t="s">
        <v>156</v>
      </c>
      <c r="H204">
        <v>3.65</v>
      </c>
    </row>
    <row r="205">
      <c r="A205" t="s">
        <v>42</v>
      </c>
      <c r="B205" t="s">
        <v>43</v>
      </c>
      <c r="C205" t="s">
        <v>157</v>
      </c>
      <c r="D205" t="s">
        <v>158</v>
      </c>
      <c r="E205" t="s">
        <v>390</v>
      </c>
      <c r="F205">
        <v>78.92857142857143</v>
      </c>
      <c r="G205" t="s">
        <v>391</v>
      </c>
      <c r="H205">
        <v>78.92857142857143</v>
      </c>
    </row>
    <row r="206">
      <c r="A206" t="s">
        <v>42</v>
      </c>
      <c r="B206" t="s">
        <v>43</v>
      </c>
      <c r="C206" t="s">
        <v>161</v>
      </c>
      <c r="D206" t="s">
        <v>162</v>
      </c>
      <c r="E206" t="s">
        <v>392</v>
      </c>
      <c r="F206">
        <v>22.285714285714285</v>
      </c>
      <c r="G206" t="s">
        <v>393</v>
      </c>
      <c r="H206">
        <v>19.678571428571427</v>
      </c>
    </row>
    <row r="207">
      <c r="A207" t="s">
        <v>42</v>
      </c>
      <c r="B207" t="s">
        <v>43</v>
      </c>
      <c r="C207" t="s">
        <v>165</v>
      </c>
      <c r="D207" t="s">
        <v>166</v>
      </c>
      <c r="E207" t="s">
        <v>394</v>
      </c>
      <c r="F207">
        <v>56.642857142857146</v>
      </c>
      <c r="G207" t="s">
        <v>395</v>
      </c>
      <c r="H207">
        <v>59.25</v>
      </c>
    </row>
    <row r="208">
      <c r="A208" t="s">
        <v>42</v>
      </c>
      <c r="B208" t="s">
        <v>43</v>
      </c>
      <c r="C208" t="s">
        <v>169</v>
      </c>
    </row>
    <row r="209">
      <c r="A209" t="s">
        <v>42</v>
      </c>
      <c r="B209" t="s">
        <v>43</v>
      </c>
      <c r="C209" t="s">
        <v>170</v>
      </c>
      <c r="D209" t="s">
        <v>171</v>
      </c>
      <c r="E209" t="s">
        <v>172</v>
      </c>
      <c r="F209">
        <v>24</v>
      </c>
    </row>
    <row r="210">
      <c r="A210" t="s">
        <v>42</v>
      </c>
      <c r="B210" t="s">
        <v>43</v>
      </c>
      <c r="C210" t="s">
        <v>173</v>
      </c>
      <c r="D210" t="s">
        <v>171</v>
      </c>
      <c r="E210" t="s">
        <v>174</v>
      </c>
      <c r="F210">
        <v>365</v>
      </c>
    </row>
    <row r="211">
      <c r="A211" t="s">
        <v>42</v>
      </c>
      <c r="B211" t="s">
        <v>43</v>
      </c>
      <c r="C211" t="s">
        <v>175</v>
      </c>
      <c r="D211" t="s">
        <v>171</v>
      </c>
      <c r="E211" t="s">
        <v>176</v>
      </c>
      <c r="F211">
        <v>1</v>
      </c>
    </row>
    <row r="212">
      <c r="A212" t="s">
        <v>42</v>
      </c>
      <c r="B212" t="s">
        <v>43</v>
      </c>
      <c r="C212" t="s">
        <v>177</v>
      </c>
      <c r="D212" t="s">
        <v>178</v>
      </c>
      <c r="E212" t="s">
        <v>179</v>
      </c>
      <c r="F212">
        <v>45000</v>
      </c>
    </row>
    <row r="213">
      <c r="A213" t="s">
        <v>42</v>
      </c>
      <c r="B213" t="s">
        <v>43</v>
      </c>
      <c r="C213" t="s">
        <v>180</v>
      </c>
      <c r="D213" t="s">
        <v>178</v>
      </c>
      <c r="E213" t="s">
        <v>181</v>
      </c>
      <c r="F213">
        <v>80000</v>
      </c>
    </row>
    <row r="214">
      <c r="A214" t="s">
        <v>42</v>
      </c>
      <c r="B214" t="s">
        <v>43</v>
      </c>
      <c r="C214" t="s">
        <v>182</v>
      </c>
      <c r="D214" t="s">
        <v>171</v>
      </c>
      <c r="E214" t="s">
        <v>183</v>
      </c>
      <c r="F214">
        <v>4</v>
      </c>
    </row>
    <row r="215">
      <c r="A215" t="s">
        <v>42</v>
      </c>
      <c r="B215" t="s">
        <v>43</v>
      </c>
      <c r="C215" t="s">
        <v>184</v>
      </c>
      <c r="D215" t="s">
        <v>171</v>
      </c>
      <c r="E215" t="s">
        <v>185</v>
      </c>
      <c r="F215">
        <v>6</v>
      </c>
    </row>
    <row r="216">
      <c r="A216" t="s">
        <v>42</v>
      </c>
      <c r="B216" t="s">
        <v>43</v>
      </c>
      <c r="C216" t="s">
        <v>186</v>
      </c>
      <c r="D216" t="s">
        <v>178</v>
      </c>
      <c r="E216" t="s">
        <v>187</v>
      </c>
      <c r="F216">
        <v>250000</v>
      </c>
    </row>
    <row r="217">
      <c r="A217" t="s">
        <v>42</v>
      </c>
      <c r="B217" t="s">
        <v>43</v>
      </c>
      <c r="C217" t="s">
        <v>188</v>
      </c>
      <c r="D217" t="s">
        <v>171</v>
      </c>
      <c r="E217" t="s">
        <v>189</v>
      </c>
    </row>
    <row r="219">
      <c r="A219" t="s">
        <v>47</v>
      </c>
      <c r="B219" t="s">
        <v>48</v>
      </c>
      <c r="C219" t="s">
        <v>97</v>
      </c>
      <c r="D219" t="s">
        <v>98</v>
      </c>
      <c r="E219" t="s">
        <v>191</v>
      </c>
      <c r="F219">
        <v>180000</v>
      </c>
      <c r="G219" t="s">
        <v>396</v>
      </c>
      <c r="H219">
        <v>350000</v>
      </c>
    </row>
    <row r="220">
      <c r="A220" t="s">
        <v>47</v>
      </c>
      <c r="B220" t="s">
        <v>48</v>
      </c>
      <c r="C220" t="s">
        <v>70</v>
      </c>
      <c r="D220" t="s">
        <v>101</v>
      </c>
      <c r="E220" t="s">
        <v>102</v>
      </c>
      <c r="F220">
        <v>1</v>
      </c>
      <c r="G220" t="s">
        <v>397</v>
      </c>
      <c r="H220">
        <v>1.9444444444444444</v>
      </c>
    </row>
    <row r="221">
      <c r="A221" t="s">
        <v>47</v>
      </c>
      <c r="B221" t="s">
        <v>48</v>
      </c>
      <c r="C221" t="s">
        <v>72</v>
      </c>
      <c r="D221" t="s">
        <v>104</v>
      </c>
      <c r="E221" t="s">
        <v>398</v>
      </c>
      <c r="F221">
        <v>260</v>
      </c>
      <c r="G221" t="s">
        <v>399</v>
      </c>
      <c r="H221">
        <v>505.55555555555554</v>
      </c>
    </row>
    <row r="222">
      <c r="A222" t="s">
        <v>47</v>
      </c>
      <c r="B222" t="s">
        <v>48</v>
      </c>
      <c r="C222" t="s">
        <v>107</v>
      </c>
      <c r="D222" t="s">
        <v>108</v>
      </c>
      <c r="E222" t="s">
        <v>400</v>
      </c>
      <c r="F222">
        <v>1029600</v>
      </c>
      <c r="G222" t="s">
        <v>401</v>
      </c>
      <c r="H222">
        <v>2001999.9999999998</v>
      </c>
    </row>
    <row r="223">
      <c r="A223" t="s">
        <v>47</v>
      </c>
      <c r="B223" t="s">
        <v>48</v>
      </c>
      <c r="C223" t="s">
        <v>111</v>
      </c>
      <c r="D223" t="s">
        <v>112</v>
      </c>
      <c r="E223" t="s">
        <v>402</v>
      </c>
      <c r="F223">
        <v>23400000</v>
      </c>
      <c r="G223" t="s">
        <v>403</v>
      </c>
      <c r="H223">
        <v>45500000</v>
      </c>
    </row>
    <row r="224">
      <c r="A224" t="s">
        <v>47</v>
      </c>
      <c r="B224" t="s">
        <v>48</v>
      </c>
      <c r="C224" t="s">
        <v>115</v>
      </c>
      <c r="D224" t="s">
        <v>116</v>
      </c>
      <c r="E224" t="s">
        <v>404</v>
      </c>
      <c r="F224">
        <v>22.727272727272727</v>
      </c>
      <c r="G224" t="s">
        <v>404</v>
      </c>
      <c r="H224">
        <v>22.727272727272727</v>
      </c>
    </row>
    <row r="225">
      <c r="A225" t="s">
        <v>47</v>
      </c>
      <c r="B225" t="s">
        <v>48</v>
      </c>
      <c r="C225" t="s">
        <v>118</v>
      </c>
      <c r="D225" t="s">
        <v>119</v>
      </c>
      <c r="E225" t="s">
        <v>120</v>
      </c>
      <c r="F225">
        <v>8760</v>
      </c>
      <c r="G225" t="s">
        <v>120</v>
      </c>
      <c r="H225">
        <v>8760</v>
      </c>
    </row>
    <row r="226">
      <c r="A226" t="s">
        <v>47</v>
      </c>
      <c r="B226" t="s">
        <v>48</v>
      </c>
      <c r="C226" t="s">
        <v>121</v>
      </c>
      <c r="D226" t="s">
        <v>122</v>
      </c>
      <c r="E226" t="s">
        <v>405</v>
      </c>
      <c r="F226">
        <v>117.53424657534246</v>
      </c>
      <c r="G226" t="s">
        <v>406</v>
      </c>
      <c r="H226">
        <v>228.5388127853881</v>
      </c>
    </row>
    <row r="227">
      <c r="A227" t="s">
        <v>47</v>
      </c>
      <c r="B227" t="s">
        <v>48</v>
      </c>
      <c r="C227" t="s">
        <v>125</v>
      </c>
      <c r="D227" t="s">
        <v>126</v>
      </c>
      <c r="E227" t="s">
        <v>407</v>
      </c>
      <c r="F227">
        <v>118</v>
      </c>
      <c r="G227" t="s">
        <v>408</v>
      </c>
      <c r="H227">
        <v>229</v>
      </c>
    </row>
    <row r="228">
      <c r="A228" t="s">
        <v>47</v>
      </c>
      <c r="B228" t="s">
        <v>48</v>
      </c>
      <c r="C228" t="s">
        <v>129</v>
      </c>
      <c r="D228" t="s">
        <v>130</v>
      </c>
      <c r="E228" t="s">
        <v>409</v>
      </c>
      <c r="F228">
        <v>29.5</v>
      </c>
      <c r="G228" t="s">
        <v>410</v>
      </c>
      <c r="H228">
        <v>38.166666666666664</v>
      </c>
    </row>
    <row r="229">
      <c r="A229" t="s">
        <v>47</v>
      </c>
      <c r="B229" t="s">
        <v>48</v>
      </c>
      <c r="C229" t="s">
        <v>133</v>
      </c>
      <c r="D229" t="s">
        <v>134</v>
      </c>
      <c r="E229" t="s">
        <v>411</v>
      </c>
      <c r="F229">
        <v>30</v>
      </c>
      <c r="G229" t="s">
        <v>412</v>
      </c>
      <c r="H229">
        <v>39</v>
      </c>
    </row>
    <row r="230">
      <c r="A230" t="s">
        <v>47</v>
      </c>
      <c r="B230" t="s">
        <v>48</v>
      </c>
      <c r="C230" t="s">
        <v>137</v>
      </c>
      <c r="D230" t="s">
        <v>138</v>
      </c>
      <c r="E230" t="s">
        <v>413</v>
      </c>
      <c r="F230">
        <v>7710000</v>
      </c>
      <c r="G230" t="s">
        <v>414</v>
      </c>
      <c r="H230">
        <v>13425000</v>
      </c>
    </row>
    <row r="231">
      <c r="A231" t="s">
        <v>47</v>
      </c>
      <c r="B231" t="s">
        <v>48</v>
      </c>
      <c r="C231" t="s">
        <v>82</v>
      </c>
      <c r="D231" t="s">
        <v>141</v>
      </c>
      <c r="E231" t="s">
        <v>415</v>
      </c>
      <c r="F231">
        <v>15690000</v>
      </c>
      <c r="G231" t="s">
        <v>416</v>
      </c>
      <c r="H231">
        <v>32075000</v>
      </c>
    </row>
    <row r="232">
      <c r="A232" t="s">
        <v>47</v>
      </c>
      <c r="B232" t="s">
        <v>48</v>
      </c>
      <c r="C232" t="s">
        <v>83</v>
      </c>
      <c r="D232" t="s">
        <v>144</v>
      </c>
      <c r="E232" t="s">
        <v>417</v>
      </c>
      <c r="F232">
        <v>0.3294871794871795</v>
      </c>
      <c r="G232" t="s">
        <v>418</v>
      </c>
      <c r="H232">
        <v>0.29505494505494506</v>
      </c>
    </row>
    <row r="233">
      <c r="A233" t="s">
        <v>47</v>
      </c>
      <c r="B233" t="s">
        <v>48</v>
      </c>
      <c r="C233" t="s">
        <v>147</v>
      </c>
      <c r="D233" t="s">
        <v>148</v>
      </c>
      <c r="E233" t="s">
        <v>419</v>
      </c>
      <c r="F233">
        <v>2.035019455252918</v>
      </c>
      <c r="G233" t="s">
        <v>420</v>
      </c>
      <c r="H233">
        <v>2.389199255121043</v>
      </c>
    </row>
    <row r="234">
      <c r="A234" t="s">
        <v>47</v>
      </c>
      <c r="B234" t="s">
        <v>48</v>
      </c>
      <c r="C234" t="s">
        <v>151</v>
      </c>
      <c r="D234" t="s">
        <v>152</v>
      </c>
      <c r="E234" t="s">
        <v>421</v>
      </c>
      <c r="F234">
        <v>0.19120458891013384</v>
      </c>
      <c r="G234" t="s">
        <v>422</v>
      </c>
      <c r="H234">
        <v>0.09353078721745908</v>
      </c>
    </row>
    <row r="235">
      <c r="A235" t="s">
        <v>47</v>
      </c>
      <c r="B235" t="s">
        <v>48</v>
      </c>
      <c r="C235" t="s">
        <v>85</v>
      </c>
      <c r="D235" t="s">
        <v>155</v>
      </c>
      <c r="E235" t="s">
        <v>320</v>
      </c>
      <c r="F235">
        <v>2.212121212121212</v>
      </c>
      <c r="G235" t="s">
        <v>320</v>
      </c>
      <c r="H235">
        <v>2.212121212121212</v>
      </c>
    </row>
    <row r="236">
      <c r="A236" t="s">
        <v>47</v>
      </c>
      <c r="B236" t="s">
        <v>48</v>
      </c>
      <c r="C236" t="s">
        <v>157</v>
      </c>
      <c r="D236" t="s">
        <v>158</v>
      </c>
      <c r="E236" t="s">
        <v>423</v>
      </c>
      <c r="F236">
        <v>130</v>
      </c>
      <c r="G236" t="s">
        <v>424</v>
      </c>
      <c r="H236">
        <v>130</v>
      </c>
    </row>
    <row r="237">
      <c r="A237" t="s">
        <v>47</v>
      </c>
      <c r="B237" t="s">
        <v>48</v>
      </c>
      <c r="C237" t="s">
        <v>161</v>
      </c>
      <c r="D237" t="s">
        <v>162</v>
      </c>
      <c r="E237" t="s">
        <v>425</v>
      </c>
      <c r="F237">
        <v>42.833333333333336</v>
      </c>
      <c r="G237" t="s">
        <v>426</v>
      </c>
      <c r="H237">
        <v>38.357142857142854</v>
      </c>
    </row>
    <row r="238">
      <c r="A238" t="s">
        <v>47</v>
      </c>
      <c r="B238" t="s">
        <v>48</v>
      </c>
      <c r="C238" t="s">
        <v>165</v>
      </c>
      <c r="D238" t="s">
        <v>166</v>
      </c>
      <c r="E238" t="s">
        <v>427</v>
      </c>
      <c r="F238">
        <v>87.16666666666667</v>
      </c>
      <c r="G238" t="s">
        <v>428</v>
      </c>
      <c r="H238">
        <v>91.64285714285714</v>
      </c>
    </row>
    <row r="239">
      <c r="A239" t="s">
        <v>47</v>
      </c>
      <c r="B239" t="s">
        <v>48</v>
      </c>
      <c r="C239" t="s">
        <v>169</v>
      </c>
    </row>
    <row r="240">
      <c r="A240" t="s">
        <v>47</v>
      </c>
      <c r="B240" t="s">
        <v>48</v>
      </c>
      <c r="C240" t="s">
        <v>170</v>
      </c>
      <c r="D240" t="s">
        <v>171</v>
      </c>
      <c r="E240" t="s">
        <v>172</v>
      </c>
      <c r="F240">
        <v>24</v>
      </c>
    </row>
    <row r="241">
      <c r="A241" t="s">
        <v>47</v>
      </c>
      <c r="B241" t="s">
        <v>48</v>
      </c>
      <c r="C241" t="s">
        <v>173</v>
      </c>
      <c r="D241" t="s">
        <v>171</v>
      </c>
      <c r="E241" t="s">
        <v>174</v>
      </c>
      <c r="F241">
        <v>365</v>
      </c>
    </row>
    <row r="242">
      <c r="A242" t="s">
        <v>47</v>
      </c>
      <c r="B242" t="s">
        <v>48</v>
      </c>
      <c r="C242" t="s">
        <v>175</v>
      </c>
      <c r="D242" t="s">
        <v>171</v>
      </c>
      <c r="E242" t="s">
        <v>176</v>
      </c>
      <c r="F242">
        <v>1</v>
      </c>
    </row>
    <row r="243">
      <c r="A243" t="s">
        <v>47</v>
      </c>
      <c r="B243" t="s">
        <v>48</v>
      </c>
      <c r="C243" t="s">
        <v>177</v>
      </c>
      <c r="D243" t="s">
        <v>178</v>
      </c>
      <c r="E243" t="s">
        <v>179</v>
      </c>
      <c r="F243">
        <v>45000</v>
      </c>
    </row>
    <row r="244">
      <c r="A244" t="s">
        <v>47</v>
      </c>
      <c r="B244" t="s">
        <v>48</v>
      </c>
      <c r="C244" t="s">
        <v>180</v>
      </c>
      <c r="D244" t="s">
        <v>178</v>
      </c>
      <c r="E244" t="s">
        <v>181</v>
      </c>
      <c r="F244">
        <v>80000</v>
      </c>
    </row>
    <row r="245">
      <c r="A245" t="s">
        <v>47</v>
      </c>
      <c r="B245" t="s">
        <v>48</v>
      </c>
      <c r="C245" t="s">
        <v>182</v>
      </c>
      <c r="D245" t="s">
        <v>171</v>
      </c>
      <c r="E245" t="s">
        <v>183</v>
      </c>
      <c r="F245">
        <v>4</v>
      </c>
    </row>
    <row r="246">
      <c r="A246" t="s">
        <v>47</v>
      </c>
      <c r="B246" t="s">
        <v>48</v>
      </c>
      <c r="C246" t="s">
        <v>184</v>
      </c>
      <c r="D246" t="s">
        <v>171</v>
      </c>
      <c r="E246" t="s">
        <v>185</v>
      </c>
      <c r="F246">
        <v>6</v>
      </c>
    </row>
    <row r="247">
      <c r="A247" t="s">
        <v>47</v>
      </c>
      <c r="B247" t="s">
        <v>48</v>
      </c>
      <c r="C247" t="s">
        <v>186</v>
      </c>
      <c r="D247" t="s">
        <v>178</v>
      </c>
      <c r="E247" t="s">
        <v>187</v>
      </c>
      <c r="F247">
        <v>250000</v>
      </c>
    </row>
    <row r="248">
      <c r="A248" t="s">
        <v>47</v>
      </c>
      <c r="B248" t="s">
        <v>48</v>
      </c>
      <c r="C248" t="s">
        <v>188</v>
      </c>
      <c r="D248" t="s">
        <v>171</v>
      </c>
      <c r="E248" t="s">
        <v>189</v>
      </c>
    </row>
    <row r="250">
      <c r="A250" t="s">
        <v>51</v>
      </c>
      <c r="B250" t="s">
        <v>52</v>
      </c>
      <c r="C250" t="s">
        <v>97</v>
      </c>
      <c r="D250" t="s">
        <v>98</v>
      </c>
      <c r="E250" t="s">
        <v>429</v>
      </c>
      <c r="F250">
        <v>95000</v>
      </c>
      <c r="G250" t="s">
        <v>191</v>
      </c>
      <c r="H250">
        <v>180000</v>
      </c>
    </row>
    <row r="251">
      <c r="A251" t="s">
        <v>51</v>
      </c>
      <c r="B251" t="s">
        <v>52</v>
      </c>
      <c r="C251" t="s">
        <v>70</v>
      </c>
      <c r="D251" t="s">
        <v>101</v>
      </c>
      <c r="E251" t="s">
        <v>102</v>
      </c>
      <c r="F251">
        <v>1</v>
      </c>
      <c r="G251" t="s">
        <v>430</v>
      </c>
      <c r="H251">
        <v>1.894736842105263</v>
      </c>
    </row>
    <row r="252">
      <c r="A252" t="s">
        <v>51</v>
      </c>
      <c r="B252" t="s">
        <v>52</v>
      </c>
      <c r="C252" t="s">
        <v>72</v>
      </c>
      <c r="D252" t="s">
        <v>104</v>
      </c>
      <c r="E252" t="s">
        <v>431</v>
      </c>
      <c r="F252">
        <v>130</v>
      </c>
      <c r="G252" t="s">
        <v>432</v>
      </c>
      <c r="H252">
        <v>246.3157894736842</v>
      </c>
    </row>
    <row r="253">
      <c r="A253" t="s">
        <v>51</v>
      </c>
      <c r="B253" t="s">
        <v>52</v>
      </c>
      <c r="C253" t="s">
        <v>107</v>
      </c>
      <c r="D253" t="s">
        <v>108</v>
      </c>
      <c r="E253" t="s">
        <v>433</v>
      </c>
      <c r="F253">
        <v>312000</v>
      </c>
      <c r="G253" t="s">
        <v>434</v>
      </c>
      <c r="H253">
        <v>591157.894736842</v>
      </c>
    </row>
    <row r="254">
      <c r="A254" t="s">
        <v>51</v>
      </c>
      <c r="B254" t="s">
        <v>52</v>
      </c>
      <c r="C254" t="s">
        <v>111</v>
      </c>
      <c r="D254" t="s">
        <v>112</v>
      </c>
      <c r="E254" t="s">
        <v>435</v>
      </c>
      <c r="F254">
        <v>9880000</v>
      </c>
      <c r="G254" t="s">
        <v>436</v>
      </c>
      <c r="H254">
        <v>18720000</v>
      </c>
    </row>
    <row r="255">
      <c r="A255" t="s">
        <v>51</v>
      </c>
      <c r="B255" t="s">
        <v>52</v>
      </c>
      <c r="C255" t="s">
        <v>115</v>
      </c>
      <c r="D255" t="s">
        <v>116</v>
      </c>
      <c r="E255" t="s">
        <v>437</v>
      </c>
      <c r="F255">
        <v>31.666666666666668</v>
      </c>
      <c r="G255" t="s">
        <v>437</v>
      </c>
      <c r="H255">
        <v>31.666666666666668</v>
      </c>
    </row>
    <row r="256">
      <c r="A256" t="s">
        <v>51</v>
      </c>
      <c r="B256" t="s">
        <v>52</v>
      </c>
      <c r="C256" t="s">
        <v>118</v>
      </c>
      <c r="D256" t="s">
        <v>119</v>
      </c>
      <c r="E256" t="s">
        <v>120</v>
      </c>
      <c r="F256">
        <v>8760</v>
      </c>
      <c r="G256" t="s">
        <v>120</v>
      </c>
      <c r="H256">
        <v>8760</v>
      </c>
    </row>
    <row r="257">
      <c r="A257" t="s">
        <v>51</v>
      </c>
      <c r="B257" t="s">
        <v>52</v>
      </c>
      <c r="C257" t="s">
        <v>121</v>
      </c>
      <c r="D257" t="s">
        <v>122</v>
      </c>
      <c r="E257" t="s">
        <v>438</v>
      </c>
      <c r="F257">
        <v>27.397260273972602</v>
      </c>
      <c r="G257" t="s">
        <v>439</v>
      </c>
      <c r="H257">
        <v>51.91059841384282</v>
      </c>
    </row>
    <row r="258">
      <c r="A258" t="s">
        <v>51</v>
      </c>
      <c r="B258" t="s">
        <v>52</v>
      </c>
      <c r="C258" t="s">
        <v>125</v>
      </c>
      <c r="D258" t="s">
        <v>126</v>
      </c>
      <c r="E258" t="s">
        <v>127</v>
      </c>
      <c r="F258">
        <v>28</v>
      </c>
      <c r="G258" t="s">
        <v>440</v>
      </c>
      <c r="H258">
        <v>52</v>
      </c>
    </row>
    <row r="259">
      <c r="A259" t="s">
        <v>51</v>
      </c>
      <c r="B259" t="s">
        <v>52</v>
      </c>
      <c r="C259" t="s">
        <v>129</v>
      </c>
      <c r="D259" t="s">
        <v>130</v>
      </c>
      <c r="E259" t="s">
        <v>441</v>
      </c>
      <c r="F259">
        <v>5.090909090909091</v>
      </c>
      <c r="G259" t="s">
        <v>442</v>
      </c>
      <c r="H259">
        <v>8.666666666666666</v>
      </c>
    </row>
    <row r="260">
      <c r="A260" t="s">
        <v>51</v>
      </c>
      <c r="B260" t="s">
        <v>52</v>
      </c>
      <c r="C260" t="s">
        <v>133</v>
      </c>
      <c r="D260" t="s">
        <v>134</v>
      </c>
      <c r="E260" t="s">
        <v>443</v>
      </c>
      <c r="F260">
        <v>6</v>
      </c>
      <c r="G260" t="s">
        <v>444</v>
      </c>
      <c r="H260">
        <v>9</v>
      </c>
    </row>
    <row r="261">
      <c r="A261" t="s">
        <v>51</v>
      </c>
      <c r="B261" t="s">
        <v>52</v>
      </c>
      <c r="C261" t="s">
        <v>137</v>
      </c>
      <c r="D261" t="s">
        <v>138</v>
      </c>
      <c r="E261" t="s">
        <v>445</v>
      </c>
      <c r="F261">
        <v>1740000</v>
      </c>
      <c r="G261" t="s">
        <v>446</v>
      </c>
      <c r="H261">
        <v>3060000</v>
      </c>
    </row>
    <row r="262">
      <c r="A262" t="s">
        <v>51</v>
      </c>
      <c r="B262" t="s">
        <v>52</v>
      </c>
      <c r="C262" t="s">
        <v>82</v>
      </c>
      <c r="D262" t="s">
        <v>141</v>
      </c>
      <c r="E262" t="s">
        <v>447</v>
      </c>
      <c r="F262">
        <v>8140000</v>
      </c>
      <c r="G262" t="s">
        <v>448</v>
      </c>
      <c r="H262">
        <v>15660000</v>
      </c>
    </row>
    <row r="263">
      <c r="A263" t="s">
        <v>51</v>
      </c>
      <c r="B263" t="s">
        <v>52</v>
      </c>
      <c r="C263" t="s">
        <v>83</v>
      </c>
      <c r="D263" t="s">
        <v>144</v>
      </c>
      <c r="E263" t="s">
        <v>449</v>
      </c>
      <c r="F263">
        <v>0.17611336032388664</v>
      </c>
      <c r="G263" t="s">
        <v>450</v>
      </c>
      <c r="H263">
        <v>0.16346153846153846</v>
      </c>
    </row>
    <row r="264">
      <c r="A264" t="s">
        <v>51</v>
      </c>
      <c r="B264" t="s">
        <v>52</v>
      </c>
      <c r="C264" t="s">
        <v>147</v>
      </c>
      <c r="D264" t="s">
        <v>148</v>
      </c>
      <c r="E264" t="s">
        <v>451</v>
      </c>
      <c r="F264">
        <v>4.67816091954023</v>
      </c>
      <c r="G264" t="s">
        <v>452</v>
      </c>
      <c r="H264">
        <v>5.117647058823529</v>
      </c>
    </row>
    <row r="265">
      <c r="A265" t="s">
        <v>51</v>
      </c>
      <c r="B265" t="s">
        <v>52</v>
      </c>
      <c r="C265" t="s">
        <v>151</v>
      </c>
      <c r="D265" t="s">
        <v>152</v>
      </c>
      <c r="E265" t="s">
        <v>453</v>
      </c>
      <c r="F265">
        <v>0.36855036855036855</v>
      </c>
      <c r="G265" t="s">
        <v>454</v>
      </c>
      <c r="H265">
        <v>0.19157088122605365</v>
      </c>
    </row>
    <row r="266">
      <c r="A266" t="s">
        <v>51</v>
      </c>
      <c r="B266" t="s">
        <v>52</v>
      </c>
      <c r="C266" t="s">
        <v>85</v>
      </c>
      <c r="D266" t="s">
        <v>155</v>
      </c>
      <c r="E266" t="s">
        <v>156</v>
      </c>
      <c r="F266">
        <v>3.65</v>
      </c>
      <c r="G266" t="s">
        <v>156</v>
      </c>
      <c r="H266">
        <v>3.65</v>
      </c>
    </row>
    <row r="267">
      <c r="A267" t="s">
        <v>51</v>
      </c>
      <c r="B267" t="s">
        <v>52</v>
      </c>
      <c r="C267" t="s">
        <v>157</v>
      </c>
      <c r="D267" t="s">
        <v>158</v>
      </c>
      <c r="E267" t="s">
        <v>455</v>
      </c>
      <c r="F267">
        <v>104</v>
      </c>
      <c r="G267" t="s">
        <v>456</v>
      </c>
      <c r="H267">
        <v>104</v>
      </c>
    </row>
    <row r="268">
      <c r="A268" t="s">
        <v>51</v>
      </c>
      <c r="B268" t="s">
        <v>52</v>
      </c>
      <c r="C268" t="s">
        <v>161</v>
      </c>
      <c r="D268" t="s">
        <v>162</v>
      </c>
      <c r="E268" t="s">
        <v>457</v>
      </c>
      <c r="F268">
        <v>18.31578947368421</v>
      </c>
      <c r="G268" t="s">
        <v>458</v>
      </c>
      <c r="H268">
        <v>17</v>
      </c>
    </row>
    <row r="269">
      <c r="A269" t="s">
        <v>51</v>
      </c>
      <c r="B269" t="s">
        <v>52</v>
      </c>
      <c r="C269" t="s">
        <v>165</v>
      </c>
      <c r="D269" t="s">
        <v>166</v>
      </c>
      <c r="E269" t="s">
        <v>459</v>
      </c>
      <c r="F269">
        <v>85.6842105263158</v>
      </c>
      <c r="G269" t="s">
        <v>460</v>
      </c>
      <c r="H269">
        <v>87</v>
      </c>
    </row>
    <row r="270">
      <c r="A270" t="s">
        <v>51</v>
      </c>
      <c r="B270" t="s">
        <v>52</v>
      </c>
      <c r="C270" t="s">
        <v>169</v>
      </c>
    </row>
    <row r="271">
      <c r="A271" t="s">
        <v>51</v>
      </c>
      <c r="B271" t="s">
        <v>52</v>
      </c>
      <c r="C271" t="s">
        <v>170</v>
      </c>
      <c r="D271" t="s">
        <v>171</v>
      </c>
      <c r="E271" t="s">
        <v>172</v>
      </c>
      <c r="F271">
        <v>24</v>
      </c>
    </row>
    <row r="272">
      <c r="A272" t="s">
        <v>51</v>
      </c>
      <c r="B272" t="s">
        <v>52</v>
      </c>
      <c r="C272" t="s">
        <v>173</v>
      </c>
      <c r="D272" t="s">
        <v>171</v>
      </c>
      <c r="E272" t="s">
        <v>174</v>
      </c>
      <c r="F272">
        <v>365</v>
      </c>
    </row>
    <row r="273">
      <c r="A273" t="s">
        <v>51</v>
      </c>
      <c r="B273" t="s">
        <v>52</v>
      </c>
      <c r="C273" t="s">
        <v>175</v>
      </c>
      <c r="D273" t="s">
        <v>461</v>
      </c>
      <c r="E273" t="s">
        <v>462</v>
      </c>
      <c r="F273">
        <v>1.3</v>
      </c>
    </row>
    <row r="274">
      <c r="A274" t="s">
        <v>51</v>
      </c>
      <c r="B274" t="s">
        <v>52</v>
      </c>
      <c r="C274" t="s">
        <v>177</v>
      </c>
      <c r="D274" t="s">
        <v>178</v>
      </c>
      <c r="E274" t="s">
        <v>179</v>
      </c>
      <c r="F274">
        <v>45000</v>
      </c>
    </row>
    <row r="275">
      <c r="A275" t="s">
        <v>51</v>
      </c>
      <c r="B275" t="s">
        <v>52</v>
      </c>
      <c r="C275" t="s">
        <v>180</v>
      </c>
      <c r="D275" t="s">
        <v>178</v>
      </c>
      <c r="E275" t="s">
        <v>181</v>
      </c>
      <c r="F275">
        <v>80000</v>
      </c>
    </row>
    <row r="276">
      <c r="A276" t="s">
        <v>51</v>
      </c>
      <c r="B276" t="s">
        <v>52</v>
      </c>
      <c r="C276" t="s">
        <v>182</v>
      </c>
      <c r="D276" t="s">
        <v>461</v>
      </c>
      <c r="E276" t="s">
        <v>463</v>
      </c>
      <c r="F276">
        <v>5.5</v>
      </c>
    </row>
    <row r="277">
      <c r="A277" t="s">
        <v>51</v>
      </c>
      <c r="B277" t="s">
        <v>52</v>
      </c>
      <c r="C277" t="s">
        <v>184</v>
      </c>
      <c r="D277" t="s">
        <v>171</v>
      </c>
      <c r="E277" t="s">
        <v>185</v>
      </c>
      <c r="F277">
        <v>6</v>
      </c>
    </row>
    <row r="278">
      <c r="A278" t="s">
        <v>51</v>
      </c>
      <c r="B278" t="s">
        <v>52</v>
      </c>
      <c r="C278" t="s">
        <v>186</v>
      </c>
      <c r="D278" t="s">
        <v>178</v>
      </c>
      <c r="E278" t="s">
        <v>187</v>
      </c>
      <c r="F278">
        <v>250000</v>
      </c>
    </row>
    <row r="279">
      <c r="A279" t="s">
        <v>51</v>
      </c>
      <c r="B279" t="s">
        <v>52</v>
      </c>
      <c r="C279" t="s">
        <v>188</v>
      </c>
      <c r="D279" t="s">
        <v>171</v>
      </c>
      <c r="E279" t="s">
        <v>189</v>
      </c>
    </row>
    <row r="281">
      <c r="A281" t="s">
        <v>55</v>
      </c>
      <c r="B281" t="s">
        <v>56</v>
      </c>
      <c r="C281" t="s">
        <v>97</v>
      </c>
      <c r="D281" t="s">
        <v>98</v>
      </c>
      <c r="E281" t="s">
        <v>328</v>
      </c>
      <c r="F281">
        <v>150000</v>
      </c>
      <c r="G281" t="s">
        <v>464</v>
      </c>
      <c r="H281">
        <v>300000</v>
      </c>
    </row>
    <row r="282">
      <c r="A282" t="s">
        <v>55</v>
      </c>
      <c r="B282" t="s">
        <v>56</v>
      </c>
      <c r="C282" t="s">
        <v>70</v>
      </c>
      <c r="D282" t="s">
        <v>101</v>
      </c>
      <c r="E282" t="s">
        <v>102</v>
      </c>
      <c r="F282">
        <v>1</v>
      </c>
      <c r="G282" t="s">
        <v>465</v>
      </c>
      <c r="H282">
        <v>2</v>
      </c>
    </row>
    <row r="283">
      <c r="A283" t="s">
        <v>55</v>
      </c>
      <c r="B283" t="s">
        <v>56</v>
      </c>
      <c r="C283" t="s">
        <v>72</v>
      </c>
      <c r="D283" t="s">
        <v>104</v>
      </c>
      <c r="E283" t="s">
        <v>466</v>
      </c>
      <c r="F283">
        <v>220</v>
      </c>
      <c r="G283" t="s">
        <v>467</v>
      </c>
      <c r="H283">
        <v>440</v>
      </c>
    </row>
    <row r="284">
      <c r="A284" t="s">
        <v>55</v>
      </c>
      <c r="B284" t="s">
        <v>56</v>
      </c>
      <c r="C284" t="s">
        <v>107</v>
      </c>
      <c r="D284" t="s">
        <v>108</v>
      </c>
      <c r="E284" t="s">
        <v>468</v>
      </c>
      <c r="F284">
        <v>704000</v>
      </c>
      <c r="G284" t="s">
        <v>469</v>
      </c>
      <c r="H284">
        <v>1408000</v>
      </c>
    </row>
    <row r="285">
      <c r="A285" t="s">
        <v>55</v>
      </c>
      <c r="B285" t="s">
        <v>56</v>
      </c>
      <c r="C285" t="s">
        <v>111</v>
      </c>
      <c r="D285" t="s">
        <v>112</v>
      </c>
      <c r="E285" t="s">
        <v>470</v>
      </c>
      <c r="F285">
        <v>17160000</v>
      </c>
      <c r="G285" t="s">
        <v>471</v>
      </c>
      <c r="H285">
        <v>34320000</v>
      </c>
    </row>
    <row r="286">
      <c r="A286" t="s">
        <v>55</v>
      </c>
      <c r="B286" t="s">
        <v>56</v>
      </c>
      <c r="C286" t="s">
        <v>115</v>
      </c>
      <c r="D286" t="s">
        <v>116</v>
      </c>
      <c r="E286" t="s">
        <v>472</v>
      </c>
      <c r="F286">
        <v>24.375</v>
      </c>
      <c r="G286" t="s">
        <v>472</v>
      </c>
      <c r="H286">
        <v>24.375</v>
      </c>
    </row>
    <row r="287">
      <c r="A287" t="s">
        <v>55</v>
      </c>
      <c r="B287" t="s">
        <v>56</v>
      </c>
      <c r="C287" t="s">
        <v>118</v>
      </c>
      <c r="D287" t="s">
        <v>119</v>
      </c>
      <c r="E287" t="s">
        <v>120</v>
      </c>
      <c r="F287">
        <v>8760</v>
      </c>
      <c r="G287" t="s">
        <v>120</v>
      </c>
      <c r="H287">
        <v>8760</v>
      </c>
    </row>
    <row r="288">
      <c r="A288" t="s">
        <v>55</v>
      </c>
      <c r="B288" t="s">
        <v>56</v>
      </c>
      <c r="C288" t="s">
        <v>121</v>
      </c>
      <c r="D288" t="s">
        <v>122</v>
      </c>
      <c r="E288" t="s">
        <v>473</v>
      </c>
      <c r="F288">
        <v>80.36529680365297</v>
      </c>
      <c r="G288" t="s">
        <v>474</v>
      </c>
      <c r="H288">
        <v>160.73059360730593</v>
      </c>
    </row>
    <row r="289">
      <c r="A289" t="s">
        <v>55</v>
      </c>
      <c r="B289" t="s">
        <v>56</v>
      </c>
      <c r="C289" t="s">
        <v>125</v>
      </c>
      <c r="D289" t="s">
        <v>126</v>
      </c>
      <c r="E289" t="s">
        <v>475</v>
      </c>
      <c r="F289">
        <v>81</v>
      </c>
      <c r="G289" t="s">
        <v>476</v>
      </c>
      <c r="H289">
        <v>161</v>
      </c>
    </row>
    <row r="290">
      <c r="A290" t="s">
        <v>55</v>
      </c>
      <c r="B290" t="s">
        <v>56</v>
      </c>
      <c r="C290" t="s">
        <v>129</v>
      </c>
      <c r="D290" t="s">
        <v>130</v>
      </c>
      <c r="E290" t="s">
        <v>477</v>
      </c>
      <c r="F290">
        <v>20.25</v>
      </c>
      <c r="G290" t="s">
        <v>478</v>
      </c>
      <c r="H290">
        <v>26.833333333333332</v>
      </c>
    </row>
    <row r="291">
      <c r="A291" t="s">
        <v>55</v>
      </c>
      <c r="B291" t="s">
        <v>56</v>
      </c>
      <c r="C291" t="s">
        <v>133</v>
      </c>
      <c r="D291" t="s">
        <v>134</v>
      </c>
      <c r="E291" t="s">
        <v>479</v>
      </c>
      <c r="F291">
        <v>21</v>
      </c>
      <c r="G291" t="s">
        <v>480</v>
      </c>
      <c r="H291">
        <v>27</v>
      </c>
    </row>
    <row r="292">
      <c r="A292" t="s">
        <v>55</v>
      </c>
      <c r="B292" t="s">
        <v>56</v>
      </c>
      <c r="C292" t="s">
        <v>137</v>
      </c>
      <c r="D292" t="s">
        <v>138</v>
      </c>
      <c r="E292" t="s">
        <v>481</v>
      </c>
      <c r="F292">
        <v>5325000</v>
      </c>
      <c r="G292" t="s">
        <v>482</v>
      </c>
      <c r="H292">
        <v>9405000</v>
      </c>
    </row>
    <row r="293">
      <c r="A293" t="s">
        <v>55</v>
      </c>
      <c r="B293" t="s">
        <v>56</v>
      </c>
      <c r="C293" t="s">
        <v>82</v>
      </c>
      <c r="D293" t="s">
        <v>141</v>
      </c>
      <c r="E293" t="s">
        <v>483</v>
      </c>
      <c r="F293">
        <v>11835000</v>
      </c>
      <c r="G293" t="s">
        <v>484</v>
      </c>
      <c r="H293">
        <v>24915000</v>
      </c>
    </row>
    <row r="294">
      <c r="A294" t="s">
        <v>55</v>
      </c>
      <c r="B294" t="s">
        <v>56</v>
      </c>
      <c r="C294" t="s">
        <v>83</v>
      </c>
      <c r="D294" t="s">
        <v>144</v>
      </c>
      <c r="E294" t="s">
        <v>485</v>
      </c>
      <c r="F294">
        <v>0.3103146853146853</v>
      </c>
      <c r="G294" t="s">
        <v>486</v>
      </c>
      <c r="H294">
        <v>0.27403846153846156</v>
      </c>
    </row>
    <row r="295">
      <c r="A295" t="s">
        <v>55</v>
      </c>
      <c r="B295" t="s">
        <v>56</v>
      </c>
      <c r="C295" t="s">
        <v>147</v>
      </c>
      <c r="D295" t="s">
        <v>148</v>
      </c>
      <c r="E295" t="s">
        <v>487</v>
      </c>
      <c r="F295">
        <v>2.222535211267606</v>
      </c>
      <c r="G295" t="s">
        <v>488</v>
      </c>
      <c r="H295">
        <v>2.6491228070175437</v>
      </c>
    </row>
    <row r="296">
      <c r="A296" t="s">
        <v>55</v>
      </c>
      <c r="B296" t="s">
        <v>56</v>
      </c>
      <c r="C296" t="s">
        <v>151</v>
      </c>
      <c r="D296" t="s">
        <v>152</v>
      </c>
      <c r="E296" t="s">
        <v>489</v>
      </c>
      <c r="F296">
        <v>0.2534854245880862</v>
      </c>
      <c r="G296" t="s">
        <v>490</v>
      </c>
      <c r="H296">
        <v>0.12040939193257075</v>
      </c>
    </row>
    <row r="297">
      <c r="A297" t="s">
        <v>55</v>
      </c>
      <c r="B297" t="s">
        <v>56</v>
      </c>
      <c r="C297" t="s">
        <v>85</v>
      </c>
      <c r="D297" t="s">
        <v>155</v>
      </c>
      <c r="E297" t="s">
        <v>252</v>
      </c>
      <c r="F297">
        <v>2.7375</v>
      </c>
      <c r="G297" t="s">
        <v>252</v>
      </c>
      <c r="H297">
        <v>2.7375</v>
      </c>
    </row>
    <row r="298">
      <c r="A298" t="s">
        <v>55</v>
      </c>
      <c r="B298" t="s">
        <v>56</v>
      </c>
      <c r="C298" t="s">
        <v>157</v>
      </c>
      <c r="D298" t="s">
        <v>158</v>
      </c>
      <c r="E298" t="s">
        <v>491</v>
      </c>
      <c r="F298">
        <v>114.4</v>
      </c>
      <c r="G298" t="s">
        <v>492</v>
      </c>
      <c r="H298">
        <v>114.4</v>
      </c>
    </row>
    <row r="299">
      <c r="A299" t="s">
        <v>55</v>
      </c>
      <c r="B299" t="s">
        <v>56</v>
      </c>
      <c r="C299" t="s">
        <v>161</v>
      </c>
      <c r="D299" t="s">
        <v>162</v>
      </c>
      <c r="E299" t="s">
        <v>493</v>
      </c>
      <c r="F299">
        <v>35.5</v>
      </c>
      <c r="G299" t="s">
        <v>494</v>
      </c>
      <c r="H299">
        <v>31.35</v>
      </c>
    </row>
    <row r="300">
      <c r="A300" t="s">
        <v>55</v>
      </c>
      <c r="B300" t="s">
        <v>56</v>
      </c>
      <c r="C300" t="s">
        <v>165</v>
      </c>
      <c r="D300" t="s">
        <v>166</v>
      </c>
      <c r="E300" t="s">
        <v>495</v>
      </c>
      <c r="F300">
        <v>78.9</v>
      </c>
      <c r="G300" t="s">
        <v>496</v>
      </c>
      <c r="H300">
        <v>83.05</v>
      </c>
    </row>
    <row r="301">
      <c r="A301" t="s">
        <v>55</v>
      </c>
      <c r="B301" t="s">
        <v>56</v>
      </c>
      <c r="C301" t="s">
        <v>169</v>
      </c>
    </row>
    <row r="302">
      <c r="A302" t="s">
        <v>55</v>
      </c>
      <c r="B302" t="s">
        <v>56</v>
      </c>
      <c r="C302" t="s">
        <v>170</v>
      </c>
      <c r="D302" t="s">
        <v>171</v>
      </c>
      <c r="E302" t="s">
        <v>172</v>
      </c>
      <c r="F302">
        <v>24</v>
      </c>
    </row>
    <row r="303">
      <c r="A303" t="s">
        <v>55</v>
      </c>
      <c r="B303" t="s">
        <v>56</v>
      </c>
      <c r="C303" t="s">
        <v>173</v>
      </c>
      <c r="D303" t="s">
        <v>171</v>
      </c>
      <c r="E303" t="s">
        <v>174</v>
      </c>
      <c r="F303">
        <v>365</v>
      </c>
    </row>
    <row r="304">
      <c r="A304" t="s">
        <v>55</v>
      </c>
      <c r="B304" t="s">
        <v>56</v>
      </c>
      <c r="C304" t="s">
        <v>175</v>
      </c>
      <c r="D304" t="s">
        <v>171</v>
      </c>
      <c r="E304" t="s">
        <v>176</v>
      </c>
      <c r="F304">
        <v>1</v>
      </c>
    </row>
    <row r="305">
      <c r="A305" t="s">
        <v>55</v>
      </c>
      <c r="B305" t="s">
        <v>56</v>
      </c>
      <c r="C305" t="s">
        <v>177</v>
      </c>
      <c r="D305" t="s">
        <v>178</v>
      </c>
      <c r="E305" t="s">
        <v>179</v>
      </c>
      <c r="F305">
        <v>45000</v>
      </c>
    </row>
    <row r="306">
      <c r="A306" t="s">
        <v>55</v>
      </c>
      <c r="B306" t="s">
        <v>56</v>
      </c>
      <c r="C306" t="s">
        <v>180</v>
      </c>
      <c r="D306" t="s">
        <v>178</v>
      </c>
      <c r="E306" t="s">
        <v>181</v>
      </c>
      <c r="F306">
        <v>80000</v>
      </c>
    </row>
    <row r="307">
      <c r="A307" t="s">
        <v>55</v>
      </c>
      <c r="B307" t="s">
        <v>56</v>
      </c>
      <c r="C307" t="s">
        <v>182</v>
      </c>
      <c r="D307" t="s">
        <v>171</v>
      </c>
      <c r="E307" t="s">
        <v>183</v>
      </c>
      <c r="F307">
        <v>4</v>
      </c>
    </row>
    <row r="308">
      <c r="A308" t="s">
        <v>55</v>
      </c>
      <c r="B308" t="s">
        <v>56</v>
      </c>
      <c r="C308" t="s">
        <v>184</v>
      </c>
      <c r="D308" t="s">
        <v>171</v>
      </c>
      <c r="E308" t="s">
        <v>185</v>
      </c>
      <c r="F308">
        <v>6</v>
      </c>
    </row>
    <row r="309">
      <c r="A309" t="s">
        <v>55</v>
      </c>
      <c r="B309" t="s">
        <v>56</v>
      </c>
      <c r="C309" t="s">
        <v>186</v>
      </c>
      <c r="D309" t="s">
        <v>178</v>
      </c>
      <c r="E309" t="s">
        <v>187</v>
      </c>
      <c r="F309">
        <v>250000</v>
      </c>
    </row>
    <row r="310">
      <c r="A310" t="s">
        <v>55</v>
      </c>
      <c r="B310" t="s">
        <v>56</v>
      </c>
      <c r="C310" t="s">
        <v>188</v>
      </c>
      <c r="D310" t="s">
        <v>171</v>
      </c>
      <c r="E310" t="s">
        <v>189</v>
      </c>
    </row>
    <row r="312">
      <c r="A312" t="s">
        <v>58</v>
      </c>
      <c r="B312" t="s">
        <v>59</v>
      </c>
      <c r="C312" t="s">
        <v>97</v>
      </c>
      <c r="D312" t="s">
        <v>98</v>
      </c>
      <c r="E312" t="s">
        <v>497</v>
      </c>
      <c r="F312">
        <v>4000</v>
      </c>
      <c r="G312" t="s">
        <v>498</v>
      </c>
      <c r="H312">
        <v>6000</v>
      </c>
    </row>
    <row r="313">
      <c r="A313" t="s">
        <v>58</v>
      </c>
      <c r="B313" t="s">
        <v>59</v>
      </c>
      <c r="C313" t="s">
        <v>70</v>
      </c>
      <c r="D313" t="s">
        <v>101</v>
      </c>
      <c r="E313" t="s">
        <v>102</v>
      </c>
      <c r="F313">
        <v>1</v>
      </c>
      <c r="G313" t="s">
        <v>499</v>
      </c>
      <c r="H313">
        <v>1.5</v>
      </c>
    </row>
    <row r="314">
      <c r="A314" t="s">
        <v>58</v>
      </c>
      <c r="B314" t="s">
        <v>59</v>
      </c>
      <c r="C314" t="s">
        <v>72</v>
      </c>
      <c r="D314" t="s">
        <v>104</v>
      </c>
      <c r="E314" t="s">
        <v>500</v>
      </c>
      <c r="F314">
        <v>2</v>
      </c>
      <c r="G314" t="s">
        <v>501</v>
      </c>
      <c r="H314">
        <v>3</v>
      </c>
    </row>
    <row r="315">
      <c r="A315" t="s">
        <v>58</v>
      </c>
      <c r="B315" t="s">
        <v>59</v>
      </c>
      <c r="C315" t="s">
        <v>107</v>
      </c>
      <c r="D315" t="s">
        <v>108</v>
      </c>
      <c r="E315" t="s">
        <v>502</v>
      </c>
      <c r="F315">
        <v>4160</v>
      </c>
      <c r="G315" t="s">
        <v>503</v>
      </c>
      <c r="H315">
        <v>6240</v>
      </c>
    </row>
    <row r="316">
      <c r="A316" t="s">
        <v>58</v>
      </c>
      <c r="B316" t="s">
        <v>59</v>
      </c>
      <c r="C316" t="s">
        <v>111</v>
      </c>
      <c r="D316" t="s">
        <v>112</v>
      </c>
      <c r="E316" t="s">
        <v>504</v>
      </c>
      <c r="F316">
        <v>90000</v>
      </c>
      <c r="G316" t="s">
        <v>505</v>
      </c>
      <c r="H316">
        <v>135000</v>
      </c>
    </row>
    <row r="317">
      <c r="A317" t="s">
        <v>58</v>
      </c>
      <c r="B317" t="s">
        <v>59</v>
      </c>
      <c r="C317" t="s">
        <v>115</v>
      </c>
      <c r="D317" t="s">
        <v>116</v>
      </c>
      <c r="E317" t="s">
        <v>506</v>
      </c>
      <c r="F317">
        <v>21.634615384615383</v>
      </c>
      <c r="G317" t="s">
        <v>506</v>
      </c>
      <c r="H317">
        <v>21.634615384615383</v>
      </c>
    </row>
    <row r="318">
      <c r="A318" t="s">
        <v>58</v>
      </c>
      <c r="B318" t="s">
        <v>59</v>
      </c>
      <c r="C318" t="s">
        <v>118</v>
      </c>
      <c r="D318" t="s">
        <v>119</v>
      </c>
      <c r="E318" t="s">
        <v>120</v>
      </c>
      <c r="F318">
        <v>8760</v>
      </c>
      <c r="G318" t="s">
        <v>120</v>
      </c>
      <c r="H318">
        <v>8760</v>
      </c>
    </row>
    <row r="319">
      <c r="A319" t="s">
        <v>58</v>
      </c>
      <c r="B319" t="s">
        <v>59</v>
      </c>
      <c r="C319" t="s">
        <v>121</v>
      </c>
      <c r="D319" t="s">
        <v>122</v>
      </c>
      <c r="E319" t="s">
        <v>507</v>
      </c>
      <c r="F319">
        <v>0.4748858447488584</v>
      </c>
      <c r="G319" t="s">
        <v>508</v>
      </c>
      <c r="H319">
        <v>0.7123287671232876</v>
      </c>
    </row>
    <row r="320">
      <c r="A320" t="s">
        <v>58</v>
      </c>
      <c r="B320" t="s">
        <v>59</v>
      </c>
      <c r="C320" t="s">
        <v>125</v>
      </c>
      <c r="D320" t="s">
        <v>126</v>
      </c>
      <c r="E320" t="s">
        <v>509</v>
      </c>
      <c r="F320">
        <v>1</v>
      </c>
      <c r="G320" t="s">
        <v>510</v>
      </c>
      <c r="H320">
        <v>1</v>
      </c>
    </row>
    <row r="321">
      <c r="A321" t="s">
        <v>58</v>
      </c>
      <c r="B321" t="s">
        <v>59</v>
      </c>
      <c r="C321" t="s">
        <v>129</v>
      </c>
      <c r="D321" t="s">
        <v>130</v>
      </c>
      <c r="E321" t="s">
        <v>511</v>
      </c>
      <c r="F321">
        <v>0.25</v>
      </c>
      <c r="G321" t="s">
        <v>512</v>
      </c>
      <c r="H321">
        <v>0.16666666666666666</v>
      </c>
    </row>
    <row r="322">
      <c r="A322" t="s">
        <v>58</v>
      </c>
      <c r="B322" t="s">
        <v>59</v>
      </c>
      <c r="C322" t="s">
        <v>133</v>
      </c>
      <c r="D322" t="s">
        <v>134</v>
      </c>
      <c r="E322" t="s">
        <v>513</v>
      </c>
      <c r="F322">
        <v>1</v>
      </c>
      <c r="G322" t="s">
        <v>514</v>
      </c>
      <c r="H322">
        <v>1</v>
      </c>
    </row>
    <row r="323">
      <c r="A323" t="s">
        <v>58</v>
      </c>
      <c r="B323" t="s">
        <v>59</v>
      </c>
      <c r="C323" t="s">
        <v>137</v>
      </c>
      <c r="D323" t="s">
        <v>138</v>
      </c>
      <c r="E323" t="s">
        <v>515</v>
      </c>
      <c r="F323">
        <v>125000</v>
      </c>
      <c r="G323" t="s">
        <v>515</v>
      </c>
      <c r="H323">
        <v>125000</v>
      </c>
    </row>
    <row r="324">
      <c r="A324" t="s">
        <v>58</v>
      </c>
      <c r="B324" t="s">
        <v>59</v>
      </c>
      <c r="C324" t="s">
        <v>82</v>
      </c>
      <c r="D324" t="s">
        <v>141</v>
      </c>
      <c r="E324" t="s">
        <v>516</v>
      </c>
      <c r="F324">
        <v>-35000</v>
      </c>
      <c r="G324" t="s">
        <v>517</v>
      </c>
      <c r="H324">
        <v>10000</v>
      </c>
    </row>
    <row r="325">
      <c r="A325" t="s">
        <v>58</v>
      </c>
      <c r="B325" t="s">
        <v>59</v>
      </c>
      <c r="C325" t="s">
        <v>83</v>
      </c>
      <c r="D325" t="s">
        <v>144</v>
      </c>
      <c r="E325" t="s">
        <v>518</v>
      </c>
      <c r="F325">
        <v>1.3888888888888888</v>
      </c>
      <c r="G325" t="s">
        <v>519</v>
      </c>
      <c r="H325">
        <v>0.9259259259259259</v>
      </c>
    </row>
    <row r="326">
      <c r="A326" t="s">
        <v>58</v>
      </c>
      <c r="B326" t="s">
        <v>59</v>
      </c>
      <c r="C326" t="s">
        <v>147</v>
      </c>
      <c r="D326" t="s">
        <v>148</v>
      </c>
      <c r="E326" t="s">
        <v>520</v>
      </c>
      <c r="F326">
        <v>-0.28</v>
      </c>
      <c r="G326" t="s">
        <v>521</v>
      </c>
      <c r="H326">
        <v>0.08</v>
      </c>
    </row>
    <row r="327">
      <c r="A327" t="s">
        <v>58</v>
      </c>
      <c r="B327" t="s">
        <v>59</v>
      </c>
      <c r="C327" t="s">
        <v>151</v>
      </c>
      <c r="D327" t="s">
        <v>152</v>
      </c>
      <c r="E327" t="s">
        <v>522</v>
      </c>
      <c r="G327" t="s">
        <v>523</v>
      </c>
      <c r="H327">
        <v>300</v>
      </c>
    </row>
    <row r="328">
      <c r="A328" t="s">
        <v>58</v>
      </c>
      <c r="B328" t="s">
        <v>59</v>
      </c>
      <c r="C328" t="s">
        <v>85</v>
      </c>
      <c r="D328" t="s">
        <v>155</v>
      </c>
      <c r="E328" t="s">
        <v>524</v>
      </c>
      <c r="F328">
        <v>4.211538461538462</v>
      </c>
      <c r="G328" t="s">
        <v>524</v>
      </c>
      <c r="H328">
        <v>4.211538461538462</v>
      </c>
    </row>
    <row r="329">
      <c r="A329" t="s">
        <v>58</v>
      </c>
      <c r="B329" t="s">
        <v>59</v>
      </c>
      <c r="C329" t="s">
        <v>157</v>
      </c>
      <c r="D329" t="s">
        <v>158</v>
      </c>
      <c r="E329" t="s">
        <v>525</v>
      </c>
      <c r="F329">
        <v>22.5</v>
      </c>
      <c r="G329" t="s">
        <v>526</v>
      </c>
      <c r="H329">
        <v>22.5</v>
      </c>
    </row>
    <row r="330">
      <c r="A330" t="s">
        <v>58</v>
      </c>
      <c r="B330" t="s">
        <v>59</v>
      </c>
      <c r="C330" t="s">
        <v>161</v>
      </c>
      <c r="D330" t="s">
        <v>162</v>
      </c>
      <c r="E330" t="s">
        <v>527</v>
      </c>
      <c r="F330">
        <v>31.25</v>
      </c>
      <c r="G330" t="s">
        <v>528</v>
      </c>
      <c r="H330">
        <v>20.833333333333332</v>
      </c>
    </row>
    <row r="331">
      <c r="A331" t="s">
        <v>58</v>
      </c>
      <c r="B331" t="s">
        <v>59</v>
      </c>
      <c r="C331" t="s">
        <v>165</v>
      </c>
      <c r="D331" t="s">
        <v>166</v>
      </c>
      <c r="E331" t="s">
        <v>529</v>
      </c>
      <c r="F331">
        <v>-8.75</v>
      </c>
      <c r="G331" t="s">
        <v>530</v>
      </c>
      <c r="H331">
        <v>1.6666666666666667</v>
      </c>
    </row>
    <row r="332">
      <c r="A332" t="s">
        <v>58</v>
      </c>
      <c r="B332" t="s">
        <v>59</v>
      </c>
      <c r="C332" t="s">
        <v>169</v>
      </c>
    </row>
    <row r="333">
      <c r="A333" t="s">
        <v>58</v>
      </c>
      <c r="B333" t="s">
        <v>59</v>
      </c>
      <c r="C333" t="s">
        <v>170</v>
      </c>
      <c r="D333" t="s">
        <v>171</v>
      </c>
      <c r="E333" t="s">
        <v>172</v>
      </c>
      <c r="F333">
        <v>24</v>
      </c>
    </row>
    <row r="334">
      <c r="A334" t="s">
        <v>58</v>
      </c>
      <c r="B334" t="s">
        <v>59</v>
      </c>
      <c r="C334" t="s">
        <v>173</v>
      </c>
      <c r="D334" t="s">
        <v>171</v>
      </c>
      <c r="E334" t="s">
        <v>174</v>
      </c>
      <c r="F334">
        <v>365</v>
      </c>
    </row>
    <row r="335">
      <c r="A335" t="s">
        <v>58</v>
      </c>
      <c r="B335" t="s">
        <v>59</v>
      </c>
      <c r="C335" t="s">
        <v>175</v>
      </c>
      <c r="D335" t="s">
        <v>171</v>
      </c>
      <c r="E335" t="s">
        <v>176</v>
      </c>
      <c r="F335">
        <v>1</v>
      </c>
    </row>
    <row r="336">
      <c r="A336" t="s">
        <v>58</v>
      </c>
      <c r="B336" t="s">
        <v>59</v>
      </c>
      <c r="C336" t="s">
        <v>177</v>
      </c>
      <c r="D336" t="s">
        <v>178</v>
      </c>
      <c r="E336" t="s">
        <v>179</v>
      </c>
      <c r="F336">
        <v>45000</v>
      </c>
    </row>
    <row r="337">
      <c r="A337" t="s">
        <v>58</v>
      </c>
      <c r="B337" t="s">
        <v>59</v>
      </c>
      <c r="C337" t="s">
        <v>180</v>
      </c>
      <c r="D337" t="s">
        <v>178</v>
      </c>
      <c r="E337" t="s">
        <v>181</v>
      </c>
      <c r="F337">
        <v>80000</v>
      </c>
    </row>
    <row r="338">
      <c r="A338" t="s">
        <v>58</v>
      </c>
      <c r="B338" t="s">
        <v>59</v>
      </c>
      <c r="C338" t="s">
        <v>182</v>
      </c>
      <c r="D338" t="s">
        <v>171</v>
      </c>
      <c r="E338" t="s">
        <v>183</v>
      </c>
      <c r="F338">
        <v>4</v>
      </c>
    </row>
    <row r="339">
      <c r="A339" t="s">
        <v>58</v>
      </c>
      <c r="B339" t="s">
        <v>59</v>
      </c>
      <c r="C339" t="s">
        <v>184</v>
      </c>
      <c r="D339" t="s">
        <v>171</v>
      </c>
      <c r="E339" t="s">
        <v>185</v>
      </c>
      <c r="F339">
        <v>6</v>
      </c>
    </row>
    <row r="340">
      <c r="A340" t="s">
        <v>58</v>
      </c>
      <c r="B340" t="s">
        <v>59</v>
      </c>
      <c r="C340" t="s">
        <v>186</v>
      </c>
      <c r="D340" t="s">
        <v>178</v>
      </c>
      <c r="E340" t="s">
        <v>187</v>
      </c>
      <c r="F340">
        <v>250000</v>
      </c>
    </row>
    <row r="341">
      <c r="A341" t="s">
        <v>58</v>
      </c>
      <c r="B341" t="s">
        <v>59</v>
      </c>
      <c r="C341" t="s">
        <v>188</v>
      </c>
      <c r="D341" t="s">
        <v>171</v>
      </c>
      <c r="E341" t="s">
        <v>189</v>
      </c>
    </row>
    <row r="343">
      <c r="A343" t="s">
        <v>63</v>
      </c>
      <c r="B343" t="s">
        <v>64</v>
      </c>
      <c r="C343" t="s">
        <v>67</v>
      </c>
      <c r="D343" t="s">
        <v>531</v>
      </c>
    </row>
  </sheetData>
</worksheet>
</file>

<file path=xl/worksheets/sheet4.xml><?xml version="1.0" encoding="utf-8"?>
<worksheet xmlns="http://schemas.openxmlformats.org/spreadsheetml/2006/main" xmlns:r="http://schemas.openxmlformats.org/officeDocument/2006/relationships">
  <dimension ref="A1:G46"/>
  <sheetViews>
    <sheetView workbookViewId="0">
      <pane ySplit="1" topLeftCell="A2" activePane="bottomLeft" state="frozen"/>
    </sheetView>
  </sheetViews>
  <sheetFormatPr defaultRowHeight="15"/>
  <cols>
    <col min="1" max="1" width="16" customWidth="1"/>
    <col min="2" max="2" width="17" customWidth="1"/>
    <col min="3" max="3" width="20" customWidth="1"/>
    <col min="4" max="4" width="10" customWidth="1"/>
    <col min="5" max="5" width="11" customWidth="1"/>
    <col min="6" max="6" width="17" customWidth="1"/>
    <col min="7" max="7" width="21" customWidth="1"/>
  </cols>
  <sheetData>
    <row r="1">
      <c r="A1" s="2" t="s">
        <v>0</v>
      </c>
      <c r="B1" s="2" t="s">
        <v>1</v>
      </c>
      <c r="C1" s="2" t="s">
        <v>532</v>
      </c>
      <c r="D1" s="2" t="s">
        <v>78</v>
      </c>
      <c r="E1" s="2" t="s">
        <v>80</v>
      </c>
      <c r="F1" s="2" t="s">
        <v>81</v>
      </c>
      <c r="G1" s="2" t="s">
        <v>83</v>
      </c>
    </row>
    <row r="2">
      <c r="A2" t="s">
        <v>17</v>
      </c>
      <c r="B2" t="s">
        <v>18</v>
      </c>
      <c r="C2">
        <v>2</v>
      </c>
      <c r="D2">
        <v>28</v>
      </c>
      <c r="E2">
        <v>14</v>
      </c>
      <c r="F2" s="3">
        <v>2380000</v>
      </c>
      <c r="G2" s="4">
        <v>0.2975</v>
      </c>
    </row>
    <row r="3">
      <c r="A3" t="s">
        <v>17</v>
      </c>
      <c r="B3" t="s">
        <v>18</v>
      </c>
      <c r="C3">
        <v>4</v>
      </c>
      <c r="D3">
        <v>28</v>
      </c>
      <c r="E3">
        <v>7</v>
      </c>
      <c r="F3" s="3">
        <v>1820000</v>
      </c>
      <c r="G3" s="4">
        <v>0.2275</v>
      </c>
    </row>
    <row r="4">
      <c r="A4" t="s">
        <v>17</v>
      </c>
      <c r="B4" t="s">
        <v>18</v>
      </c>
      <c r="C4">
        <v>6</v>
      </c>
      <c r="D4">
        <v>28</v>
      </c>
      <c r="E4">
        <v>5</v>
      </c>
      <c r="F4" s="3">
        <v>1660000</v>
      </c>
      <c r="G4" s="4">
        <v>0.2075</v>
      </c>
    </row>
    <row r="5">
      <c r="A5" t="s">
        <v>17</v>
      </c>
      <c r="B5" t="s">
        <v>18</v>
      </c>
      <c r="C5">
        <v>8</v>
      </c>
      <c r="D5">
        <v>28</v>
      </c>
      <c r="E5">
        <v>4</v>
      </c>
      <c r="F5" s="3">
        <v>1580000</v>
      </c>
      <c r="G5" s="4">
        <v>0.1975</v>
      </c>
    </row>
    <row r="6">
      <c r="A6" t="s">
        <v>24</v>
      </c>
      <c r="B6" t="s">
        <v>25</v>
      </c>
      <c r="C6">
        <v>2</v>
      </c>
      <c r="D6">
        <v>39</v>
      </c>
      <c r="E6">
        <v>20</v>
      </c>
      <c r="F6" s="3">
        <v>3355000</v>
      </c>
      <c r="G6" s="4">
        <v>0.2819327731092437</v>
      </c>
    </row>
    <row r="7">
      <c r="A7" t="s">
        <v>24</v>
      </c>
      <c r="B7" t="s">
        <v>25</v>
      </c>
      <c r="C7">
        <v>4</v>
      </c>
      <c r="D7">
        <v>39</v>
      </c>
      <c r="E7">
        <v>10</v>
      </c>
      <c r="F7" s="3">
        <v>2555000</v>
      </c>
      <c r="G7" s="4">
        <v>0.21470588235294116</v>
      </c>
    </row>
    <row r="8">
      <c r="A8" t="s">
        <v>24</v>
      </c>
      <c r="B8" t="s">
        <v>25</v>
      </c>
      <c r="C8">
        <v>6</v>
      </c>
      <c r="D8">
        <v>39</v>
      </c>
      <c r="E8">
        <v>7</v>
      </c>
      <c r="F8" s="3">
        <v>2315000</v>
      </c>
      <c r="G8" s="4">
        <v>0.19453781512605042</v>
      </c>
    </row>
    <row r="9">
      <c r="A9" t="s">
        <v>24</v>
      </c>
      <c r="B9" t="s">
        <v>25</v>
      </c>
      <c r="C9">
        <v>8</v>
      </c>
      <c r="D9">
        <v>39</v>
      </c>
      <c r="E9">
        <v>5</v>
      </c>
      <c r="F9" s="3">
        <v>2155000</v>
      </c>
      <c r="G9" s="4">
        <v>0.1810924369747899</v>
      </c>
    </row>
    <row r="10">
      <c r="A10" t="s">
        <v>27</v>
      </c>
      <c r="B10" t="s">
        <v>28</v>
      </c>
      <c r="C10">
        <v>2</v>
      </c>
      <c r="D10">
        <v>66</v>
      </c>
      <c r="E10">
        <v>33</v>
      </c>
      <c r="F10" s="3">
        <v>5610000</v>
      </c>
      <c r="G10" s="4">
        <v>0.34629629629629627</v>
      </c>
    </row>
    <row r="11">
      <c r="A11" t="s">
        <v>27</v>
      </c>
      <c r="B11" t="s">
        <v>28</v>
      </c>
      <c r="C11">
        <v>4</v>
      </c>
      <c r="D11">
        <v>66</v>
      </c>
      <c r="E11">
        <v>17</v>
      </c>
      <c r="F11" s="3">
        <v>4330000</v>
      </c>
      <c r="G11" s="4">
        <v>0.26728395061728394</v>
      </c>
    </row>
    <row r="12">
      <c r="A12" t="s">
        <v>27</v>
      </c>
      <c r="B12" t="s">
        <v>28</v>
      </c>
      <c r="C12">
        <v>6</v>
      </c>
      <c r="D12">
        <v>66</v>
      </c>
      <c r="E12">
        <v>11</v>
      </c>
      <c r="F12" s="3">
        <v>3850000</v>
      </c>
      <c r="G12" s="4">
        <v>0.23765432098765432</v>
      </c>
    </row>
    <row r="13">
      <c r="A13" t="s">
        <v>27</v>
      </c>
      <c r="B13" t="s">
        <v>28</v>
      </c>
      <c r="C13">
        <v>8</v>
      </c>
      <c r="D13">
        <v>66</v>
      </c>
      <c r="E13">
        <v>9</v>
      </c>
      <c r="F13" s="3">
        <v>3690000</v>
      </c>
      <c r="G13" s="4">
        <v>0.22777777777777777</v>
      </c>
    </row>
    <row r="14">
      <c r="A14" t="s">
        <v>31</v>
      </c>
      <c r="B14" t="s">
        <v>32</v>
      </c>
      <c r="C14">
        <v>2</v>
      </c>
      <c r="D14">
        <v>17</v>
      </c>
      <c r="E14">
        <v>9</v>
      </c>
      <c r="F14" s="3">
        <v>1485000</v>
      </c>
      <c r="G14" s="4">
        <v>0.3535714285714286</v>
      </c>
    </row>
    <row r="15">
      <c r="A15" t="s">
        <v>31</v>
      </c>
      <c r="B15" t="s">
        <v>32</v>
      </c>
      <c r="C15">
        <v>4</v>
      </c>
      <c r="D15">
        <v>17</v>
      </c>
      <c r="E15">
        <v>5</v>
      </c>
      <c r="F15" s="3">
        <v>1165000</v>
      </c>
      <c r="G15" s="4">
        <v>0.2773809523809524</v>
      </c>
    </row>
    <row r="16">
      <c r="A16" t="s">
        <v>31</v>
      </c>
      <c r="B16" t="s">
        <v>32</v>
      </c>
      <c r="C16">
        <v>6</v>
      </c>
      <c r="D16">
        <v>17</v>
      </c>
      <c r="E16">
        <v>3</v>
      </c>
      <c r="F16" s="3">
        <v>1005000</v>
      </c>
      <c r="G16" s="4">
        <v>0.2392857142857143</v>
      </c>
    </row>
    <row r="17">
      <c r="A17" t="s">
        <v>31</v>
      </c>
      <c r="B17" t="s">
        <v>32</v>
      </c>
      <c r="C17">
        <v>8</v>
      </c>
      <c r="D17">
        <v>17</v>
      </c>
      <c r="E17">
        <v>3</v>
      </c>
      <c r="F17" s="3">
        <v>1005000</v>
      </c>
      <c r="G17" s="4">
        <v>0.2392857142857143</v>
      </c>
    </row>
    <row r="18">
      <c r="A18" t="s">
        <v>35</v>
      </c>
      <c r="B18" t="s">
        <v>36</v>
      </c>
      <c r="C18">
        <v>2</v>
      </c>
      <c r="D18">
        <v>145</v>
      </c>
      <c r="E18">
        <v>73</v>
      </c>
      <c r="F18" s="3">
        <v>12365000</v>
      </c>
      <c r="G18" s="4">
        <v>0.40674342105263156</v>
      </c>
    </row>
    <row r="19">
      <c r="A19" t="s">
        <v>35</v>
      </c>
      <c r="B19" t="s">
        <v>36</v>
      </c>
      <c r="C19">
        <v>4</v>
      </c>
      <c r="D19">
        <v>145</v>
      </c>
      <c r="E19">
        <v>37</v>
      </c>
      <c r="F19" s="3">
        <v>9485000</v>
      </c>
      <c r="G19" s="4">
        <v>0.31200657894736844</v>
      </c>
    </row>
    <row r="20">
      <c r="A20" t="s">
        <v>35</v>
      </c>
      <c r="B20" t="s">
        <v>36</v>
      </c>
      <c r="C20">
        <v>6</v>
      </c>
      <c r="D20">
        <v>145</v>
      </c>
      <c r="E20">
        <v>25</v>
      </c>
      <c r="F20" s="3">
        <v>8525000</v>
      </c>
      <c r="G20" s="4">
        <v>0.28042763157894735</v>
      </c>
    </row>
    <row r="21">
      <c r="A21" t="s">
        <v>35</v>
      </c>
      <c r="B21" t="s">
        <v>36</v>
      </c>
      <c r="C21">
        <v>8</v>
      </c>
      <c r="D21">
        <v>145</v>
      </c>
      <c r="E21">
        <v>19</v>
      </c>
      <c r="F21" s="3">
        <v>8045000</v>
      </c>
      <c r="G21" s="4">
        <v>0.2646381578947368</v>
      </c>
    </row>
    <row r="22">
      <c r="A22" t="s">
        <v>39</v>
      </c>
      <c r="B22" t="s">
        <v>40</v>
      </c>
      <c r="C22">
        <v>2</v>
      </c>
      <c r="D22">
        <v>26</v>
      </c>
      <c r="E22">
        <v>13</v>
      </c>
      <c r="F22" s="3">
        <v>2210000</v>
      </c>
      <c r="G22" s="4">
        <v>0.2994579945799458</v>
      </c>
    </row>
    <row r="23">
      <c r="A23" t="s">
        <v>39</v>
      </c>
      <c r="B23" t="s">
        <v>40</v>
      </c>
      <c r="C23">
        <v>4</v>
      </c>
      <c r="D23">
        <v>26</v>
      </c>
      <c r="E23">
        <v>7</v>
      </c>
      <c r="F23" s="3">
        <v>1730000</v>
      </c>
      <c r="G23" s="4">
        <v>0.23441734417344173</v>
      </c>
    </row>
    <row r="24">
      <c r="A24" t="s">
        <v>39</v>
      </c>
      <c r="B24" t="s">
        <v>40</v>
      </c>
      <c r="C24">
        <v>6</v>
      </c>
      <c r="D24">
        <v>26</v>
      </c>
      <c r="E24">
        <v>5</v>
      </c>
      <c r="F24" s="3">
        <v>1570000</v>
      </c>
      <c r="G24" s="4">
        <v>0.2127371273712737</v>
      </c>
    </row>
    <row r="25">
      <c r="A25" t="s">
        <v>39</v>
      </c>
      <c r="B25" t="s">
        <v>40</v>
      </c>
      <c r="C25">
        <v>8</v>
      </c>
      <c r="D25">
        <v>26</v>
      </c>
      <c r="E25">
        <v>4</v>
      </c>
      <c r="F25" s="3">
        <v>1490000</v>
      </c>
      <c r="G25" s="4">
        <v>0.2018970189701897</v>
      </c>
    </row>
    <row r="26">
      <c r="A26" t="s">
        <v>42</v>
      </c>
      <c r="B26" t="s">
        <v>43</v>
      </c>
      <c r="C26">
        <v>2</v>
      </c>
      <c r="D26">
        <v>24</v>
      </c>
      <c r="E26">
        <v>12</v>
      </c>
      <c r="F26" s="3">
        <v>2040000</v>
      </c>
      <c r="G26" s="4">
        <v>0.36923076923076925</v>
      </c>
    </row>
    <row r="27">
      <c r="A27" t="s">
        <v>42</v>
      </c>
      <c r="B27" t="s">
        <v>43</v>
      </c>
      <c r="C27">
        <v>4</v>
      </c>
      <c r="D27">
        <v>24</v>
      </c>
      <c r="E27">
        <v>6</v>
      </c>
      <c r="F27" s="3">
        <v>1560000</v>
      </c>
      <c r="G27" s="4">
        <v>0.2823529411764706</v>
      </c>
    </row>
    <row r="28">
      <c r="A28" t="s">
        <v>42</v>
      </c>
      <c r="B28" t="s">
        <v>43</v>
      </c>
      <c r="C28">
        <v>6</v>
      </c>
      <c r="D28">
        <v>24</v>
      </c>
      <c r="E28">
        <v>4</v>
      </c>
      <c r="F28" s="3">
        <v>1400000</v>
      </c>
      <c r="G28" s="4">
        <v>0.25339366515837103</v>
      </c>
    </row>
    <row r="29">
      <c r="A29" t="s">
        <v>42</v>
      </c>
      <c r="B29" t="s">
        <v>43</v>
      </c>
      <c r="C29">
        <v>8</v>
      </c>
      <c r="D29">
        <v>24</v>
      </c>
      <c r="E29">
        <v>3</v>
      </c>
      <c r="F29" s="3">
        <v>1320000</v>
      </c>
      <c r="G29" s="4">
        <v>0.23891402714932128</v>
      </c>
    </row>
    <row r="30">
      <c r="A30" t="s">
        <v>47</v>
      </c>
      <c r="B30" t="s">
        <v>48</v>
      </c>
      <c r="C30">
        <v>2</v>
      </c>
      <c r="D30">
        <v>118</v>
      </c>
      <c r="E30">
        <v>59</v>
      </c>
      <c r="F30" s="3">
        <v>10030000</v>
      </c>
      <c r="G30" s="4">
        <v>0.4286324786324786</v>
      </c>
    </row>
    <row r="31">
      <c r="A31" t="s">
        <v>47</v>
      </c>
      <c r="B31" t="s">
        <v>48</v>
      </c>
      <c r="C31">
        <v>4</v>
      </c>
      <c r="D31">
        <v>118</v>
      </c>
      <c r="E31">
        <v>30</v>
      </c>
      <c r="F31" s="3">
        <v>7710000</v>
      </c>
      <c r="G31" s="4">
        <v>0.3294871794871795</v>
      </c>
    </row>
    <row r="32">
      <c r="A32" t="s">
        <v>47</v>
      </c>
      <c r="B32" t="s">
        <v>48</v>
      </c>
      <c r="C32">
        <v>6</v>
      </c>
      <c r="D32">
        <v>118</v>
      </c>
      <c r="E32">
        <v>20</v>
      </c>
      <c r="F32" s="3">
        <v>6910000</v>
      </c>
      <c r="G32" s="4">
        <v>0.2952991452991453</v>
      </c>
    </row>
    <row r="33">
      <c r="A33" t="s">
        <v>47</v>
      </c>
      <c r="B33" t="s">
        <v>48</v>
      </c>
      <c r="C33">
        <v>8</v>
      </c>
      <c r="D33">
        <v>118</v>
      </c>
      <c r="E33">
        <v>15</v>
      </c>
      <c r="F33" s="3">
        <v>6510000</v>
      </c>
      <c r="G33" s="4">
        <v>0.2782051282051282</v>
      </c>
    </row>
    <row r="34">
      <c r="A34" t="s">
        <v>51</v>
      </c>
      <c r="B34" t="s">
        <v>52</v>
      </c>
      <c r="C34">
        <v>2</v>
      </c>
      <c r="D34">
        <v>28</v>
      </c>
      <c r="E34">
        <v>14</v>
      </c>
      <c r="F34" s="3">
        <v>2380000</v>
      </c>
      <c r="G34" s="4">
        <v>0.2408906882591093</v>
      </c>
    </row>
    <row r="35">
      <c r="A35" t="s">
        <v>51</v>
      </c>
      <c r="B35" t="s">
        <v>52</v>
      </c>
      <c r="C35">
        <v>4</v>
      </c>
      <c r="D35">
        <v>28</v>
      </c>
      <c r="E35">
        <v>7</v>
      </c>
      <c r="F35" s="3">
        <v>1820000</v>
      </c>
      <c r="G35" s="4">
        <v>0.18421052631578946</v>
      </c>
    </row>
    <row r="36">
      <c r="A36" t="s">
        <v>51</v>
      </c>
      <c r="B36" t="s">
        <v>52</v>
      </c>
      <c r="C36">
        <v>6</v>
      </c>
      <c r="D36">
        <v>28</v>
      </c>
      <c r="E36">
        <v>5</v>
      </c>
      <c r="F36" s="3">
        <v>1660000</v>
      </c>
      <c r="G36" s="4">
        <v>0.1680161943319838</v>
      </c>
    </row>
    <row r="37">
      <c r="A37" t="s">
        <v>51</v>
      </c>
      <c r="B37" t="s">
        <v>52</v>
      </c>
      <c r="C37">
        <v>8</v>
      </c>
      <c r="D37">
        <v>28</v>
      </c>
      <c r="E37">
        <v>4</v>
      </c>
      <c r="F37" s="3">
        <v>1580000</v>
      </c>
      <c r="G37" s="4">
        <v>0.15991902834008098</v>
      </c>
    </row>
    <row r="38">
      <c r="A38" t="s">
        <v>55</v>
      </c>
      <c r="B38" t="s">
        <v>56</v>
      </c>
      <c r="C38">
        <v>2</v>
      </c>
      <c r="D38">
        <v>81</v>
      </c>
      <c r="E38">
        <v>41</v>
      </c>
      <c r="F38" s="3">
        <v>6925000</v>
      </c>
      <c r="G38" s="4">
        <v>0.40355477855477856</v>
      </c>
    </row>
    <row r="39">
      <c r="A39" t="s">
        <v>55</v>
      </c>
      <c r="B39" t="s">
        <v>56</v>
      </c>
      <c r="C39">
        <v>4</v>
      </c>
      <c r="D39">
        <v>81</v>
      </c>
      <c r="E39">
        <v>21</v>
      </c>
      <c r="F39" s="3">
        <v>5325000</v>
      </c>
      <c r="G39" s="4">
        <v>0.3103146853146853</v>
      </c>
    </row>
    <row r="40">
      <c r="A40" t="s">
        <v>55</v>
      </c>
      <c r="B40" t="s">
        <v>56</v>
      </c>
      <c r="C40">
        <v>6</v>
      </c>
      <c r="D40">
        <v>81</v>
      </c>
      <c r="E40">
        <v>14</v>
      </c>
      <c r="F40" s="3">
        <v>4765000</v>
      </c>
      <c r="G40" s="4">
        <v>0.2776806526806527</v>
      </c>
    </row>
    <row r="41">
      <c r="A41" t="s">
        <v>55</v>
      </c>
      <c r="B41" t="s">
        <v>56</v>
      </c>
      <c r="C41">
        <v>8</v>
      </c>
      <c r="D41">
        <v>81</v>
      </c>
      <c r="E41">
        <v>11</v>
      </c>
      <c r="F41" s="3">
        <v>4525000</v>
      </c>
      <c r="G41" s="4">
        <v>0.2636946386946387</v>
      </c>
    </row>
    <row r="42">
      <c r="A42" t="s">
        <v>58</v>
      </c>
      <c r="B42" t="s">
        <v>59</v>
      </c>
      <c r="C42">
        <v>2</v>
      </c>
      <c r="D42">
        <v>1</v>
      </c>
      <c r="E42">
        <v>1</v>
      </c>
      <c r="F42" s="3">
        <v>125000</v>
      </c>
      <c r="G42" s="4">
        <v>1.3888888888888888</v>
      </c>
    </row>
    <row r="43">
      <c r="A43" t="s">
        <v>58</v>
      </c>
      <c r="B43" t="s">
        <v>59</v>
      </c>
      <c r="C43">
        <v>4</v>
      </c>
      <c r="D43">
        <v>1</v>
      </c>
      <c r="E43">
        <v>1</v>
      </c>
      <c r="F43" s="3">
        <v>125000</v>
      </c>
      <c r="G43" s="4">
        <v>1.3888888888888888</v>
      </c>
    </row>
    <row r="44">
      <c r="A44" t="s">
        <v>58</v>
      </c>
      <c r="B44" t="s">
        <v>59</v>
      </c>
      <c r="C44">
        <v>6</v>
      </c>
      <c r="D44">
        <v>1</v>
      </c>
      <c r="E44">
        <v>1</v>
      </c>
      <c r="F44" s="3">
        <v>125000</v>
      </c>
      <c r="G44" s="4">
        <v>1.3888888888888888</v>
      </c>
    </row>
    <row r="45">
      <c r="A45" t="s">
        <v>58</v>
      </c>
      <c r="B45" t="s">
        <v>59</v>
      </c>
      <c r="C45">
        <v>8</v>
      </c>
      <c r="D45">
        <v>1</v>
      </c>
      <c r="E45">
        <v>1</v>
      </c>
      <c r="F45" s="3">
        <v>125000</v>
      </c>
      <c r="G45" s="4">
        <v>1.3888888888888888</v>
      </c>
    </row>
    <row r="46">
      <c r="A46" t="s">
        <v>63</v>
      </c>
      <c r="B46" t="s">
        <v>64</v>
      </c>
      <c r="F46" s="3"/>
      <c r="G46" s="4"/>
    </row>
  </sheetData>
</worksheet>
</file>

<file path=xl/worksheets/sheet5.xml><?xml version="1.0" encoding="utf-8"?>
<worksheet xmlns="http://schemas.openxmlformats.org/spreadsheetml/2006/main" xmlns:r="http://schemas.openxmlformats.org/officeDocument/2006/relationships">
  <dimension ref="A1:A3"/>
  <sheetFormatPr defaultRowHeight="15"/>
  <cols>
    <col min="1" max="1" width="110" customWidth="1"/>
  </cols>
  <sheetData>
    <row r="1">
      <c r="A1" t="s">
        <v>533</v>
      </c>
    </row>
    <row r="2">
      <c r="A2" t="s">
        <v>534</v>
      </c>
    </row>
    <row r="3">
      <c r="A3" t="s">
        <v>535</v>
      </c>
    </row>
  </sheetData>
  <drawing r:id="rId1"/>
</worksheet>
</file>

<file path=xl/worksheets/sheet6.xml><?xml version="1.0" encoding="utf-8"?>
<worksheet xmlns="http://schemas.openxmlformats.org/spreadsheetml/2006/main" xmlns:r="http://schemas.openxmlformats.org/officeDocument/2006/relationships">
  <dimension ref="A1:E2"/>
  <sheetViews>
    <sheetView workbookViewId="0">
      <pane ySplit="1" topLeftCell="A2" activePane="bottomLeft" state="frozen"/>
    </sheetView>
  </sheetViews>
  <sheetFormatPr defaultRowHeight="15"/>
  <cols>
    <col min="1" max="1" width="11" customWidth="1"/>
    <col min="2" max="2" width="12" customWidth="1"/>
    <col min="3" max="3" width="10" customWidth="1"/>
    <col min="4" max="4" width="10" customWidth="1"/>
    <col min="5" max="5" width="32" customWidth="1"/>
  </cols>
  <sheetData>
    <row r="1">
      <c r="A1" s="2" t="s">
        <v>0</v>
      </c>
      <c r="B1" s="2" t="s">
        <v>1</v>
      </c>
      <c r="C1" s="2" t="s">
        <v>536</v>
      </c>
      <c r="D1" s="2" t="s">
        <v>537</v>
      </c>
      <c r="E1" s="2" t="s">
        <v>538</v>
      </c>
    </row>
    <row r="2">
      <c r="A2" t="s">
        <v>63</v>
      </c>
      <c r="B2" t="s">
        <v>64</v>
      </c>
      <c r="C2" t="s">
        <v>539</v>
      </c>
      <c r="D2" t="s">
        <v>540</v>
      </c>
      <c r="E2" t="s">
        <v>531</v>
      </c>
    </row>
  </sheetData>
</worksheet>
</file>

<file path=xl/worksheets/sheet7.xml><?xml version="1.0" encoding="utf-8"?>
<worksheet xmlns="http://schemas.openxmlformats.org/spreadsheetml/2006/main" xmlns:r="http://schemas.openxmlformats.org/officeDocument/2006/relationships">
  <dimension ref="A1:A69"/>
  <sheetFormatPr defaultRowHeight="15"/>
  <cols>
    <col min="1" max="1" width="104" customWidth="1"/>
  </cols>
  <sheetData>
    <row r="1">
      <c r="A1" t="s">
        <v>541</v>
      </c>
    </row>
    <row r="2">
      <c r="A2" t="s">
        <v>542</v>
      </c>
    </row>
    <row r="4">
      <c r="A4" t="s">
        <v>543</v>
      </c>
    </row>
    <row r="5">
      <c r="A5" t="s">
        <v>544</v>
      </c>
    </row>
    <row r="6">
      <c r="A6" t="s">
        <v>545</v>
      </c>
    </row>
    <row r="7">
      <c r="A7" t="s">
        <v>546</v>
      </c>
    </row>
    <row r="8">
      <c r="A8" t="s">
        <v>547</v>
      </c>
    </row>
    <row r="9">
      <c r="A9" t="s">
        <v>548</v>
      </c>
    </row>
    <row r="10">
      <c r="A10" t="s">
        <v>549</v>
      </c>
    </row>
    <row r="11">
      <c r="A11" t="s">
        <v>550</v>
      </c>
    </row>
    <row r="13">
      <c r="A13" t="s">
        <v>551</v>
      </c>
    </row>
    <row r="14">
      <c r="A14" t="s">
        <v>552</v>
      </c>
    </row>
    <row r="15">
      <c r="A15" t="s">
        <v>553</v>
      </c>
    </row>
    <row r="16">
      <c r="A16" t="s">
        <v>554</v>
      </c>
    </row>
    <row r="17">
      <c r="A17" t="s">
        <v>555</v>
      </c>
    </row>
    <row r="18">
      <c r="A18" t="s">
        <v>556</v>
      </c>
    </row>
    <row r="19">
      <c r="A19" t="s">
        <v>557</v>
      </c>
    </row>
    <row r="20">
      <c r="A20" t="s">
        <v>558</v>
      </c>
    </row>
    <row r="21">
      <c r="A21" t="s">
        <v>559</v>
      </c>
    </row>
    <row r="22">
      <c r="A22" t="s">
        <v>560</v>
      </c>
    </row>
    <row r="23">
      <c r="A23" t="s">
        <v>561</v>
      </c>
    </row>
    <row r="24">
      <c r="A24" t="s">
        <v>562</v>
      </c>
    </row>
    <row r="25">
      <c r="A25" t="s">
        <v>563</v>
      </c>
    </row>
    <row r="27">
      <c r="A27" t="s">
        <v>564</v>
      </c>
    </row>
    <row r="28">
      <c r="A28" t="s">
        <v>565</v>
      </c>
    </row>
    <row r="29">
      <c r="A29" t="s">
        <v>566</v>
      </c>
    </row>
    <row r="31">
      <c r="A31" t="s">
        <v>567</v>
      </c>
    </row>
    <row r="32">
      <c r="A32" t="s">
        <v>568</v>
      </c>
    </row>
    <row r="34">
      <c r="A34" t="s">
        <v>569</v>
      </c>
    </row>
    <row r="35">
      <c r="A35" t="s">
        <v>570</v>
      </c>
    </row>
    <row r="36">
      <c r="A36" t="s">
        <v>571</v>
      </c>
    </row>
    <row r="38">
      <c r="A38" t="s">
        <v>572</v>
      </c>
    </row>
    <row r="39">
      <c r="A39" t="s">
        <v>573</v>
      </c>
    </row>
    <row r="40">
      <c r="A40" t="s">
        <v>574</v>
      </c>
    </row>
    <row r="41">
      <c r="A41" t="s">
        <v>575</v>
      </c>
    </row>
    <row r="43">
      <c r="A43" t="s">
        <v>576</v>
      </c>
    </row>
    <row r="44">
      <c r="A44" t="s">
        <v>577</v>
      </c>
    </row>
    <row r="45">
      <c r="A45" t="s">
        <v>578</v>
      </c>
    </row>
    <row r="46">
      <c r="A46" t="s">
        <v>579</v>
      </c>
    </row>
    <row r="47">
      <c r="A47" t="s">
        <v>580</v>
      </c>
    </row>
    <row r="48">
      <c r="A48" t="s">
        <v>581</v>
      </c>
    </row>
    <row r="49">
      <c r="A49" t="s">
        <v>582</v>
      </c>
    </row>
    <row r="50">
      <c r="A50" t="s">
        <v>583</v>
      </c>
    </row>
    <row r="51">
      <c r="A51" t="s">
        <v>584</v>
      </c>
    </row>
    <row r="53">
      <c r="A53" t="s">
        <v>585</v>
      </c>
    </row>
    <row r="54">
      <c r="A54" t="s">
        <v>586</v>
      </c>
    </row>
    <row r="56">
      <c r="A56" t="s">
        <v>587</v>
      </c>
    </row>
    <row r="57">
      <c r="A57" t="s">
        <v>588</v>
      </c>
    </row>
    <row r="58">
      <c r="A58" t="s">
        <v>589</v>
      </c>
    </row>
    <row r="59">
      <c r="A59" t="s">
        <v>590</v>
      </c>
    </row>
    <row r="60">
      <c r="A60" t="s">
        <v>591</v>
      </c>
    </row>
    <row r="61">
      <c r="A61" t="s">
        <v>592</v>
      </c>
    </row>
    <row r="63">
      <c r="A63" t="s">
        <v>593</v>
      </c>
    </row>
    <row r="64">
      <c r="A64" t="s">
        <v>594</v>
      </c>
    </row>
    <row r="66">
      <c r="A66" t="s">
        <v>595</v>
      </c>
    </row>
    <row r="67">
      <c r="A67" t="s">
        <v>596</v>
      </c>
    </row>
    <row r="68">
      <c r="A68" t="s">
        <v>597</v>
      </c>
    </row>
    <row r="69">
      <c r="A69" t="s">
        <v>598</v>
      </c>
    </row>
  </sheetData>
</worksheet>
</file>

<file path=xl/worksheets/sheet8.xml><?xml version="1.0" encoding="utf-8"?>
<worksheet xmlns="http://schemas.openxmlformats.org/spreadsheetml/2006/main" xmlns:r="http://schemas.openxmlformats.org/officeDocument/2006/relationships">
  <dimension ref="A1:M13"/>
  <sheetViews>
    <sheetView workbookViewId="0">
      <pane ySplit="1" topLeftCell="A2" activePane="bottomLeft" state="frozen"/>
    </sheetView>
  </sheetViews>
  <sheetFormatPr defaultRowHeight="15"/>
  <cols>
    <col min="1" max="1" width="16" customWidth="1"/>
    <col min="2" max="2" width="17" customWidth="1"/>
    <col min="3" max="3" width="15" customWidth="1"/>
    <col min="4" max="4" width="29" customWidth="1"/>
    <col min="5" max="5" width="18" customWidth="1"/>
    <col min="6" max="6" width="28" customWidth="1"/>
    <col min="7" max="7" width="21" customWidth="1"/>
    <col min="8" max="8" width="13" customWidth="1"/>
    <col min="9" max="9" width="14" customWidth="1"/>
    <col min="10" max="10" width="15" customWidth="1"/>
    <col min="11" max="11" width="52" customWidth="1"/>
    <col min="12" max="12" width="21" customWidth="1"/>
    <col min="13" max="13" width="24" customWidth="1"/>
  </cols>
  <sheetData>
    <row r="1">
      <c r="A1" s="2" t="s">
        <v>0</v>
      </c>
      <c r="B1" s="2" t="s">
        <v>1</v>
      </c>
      <c r="C1" s="2" t="s">
        <v>2</v>
      </c>
      <c r="D1" s="2" t="s">
        <v>599</v>
      </c>
      <c r="E1" s="2" t="s">
        <v>600</v>
      </c>
      <c r="F1" s="2" t="s">
        <v>601</v>
      </c>
      <c r="G1" s="2" t="s">
        <v>602</v>
      </c>
      <c r="H1" s="2" t="s">
        <v>603</v>
      </c>
      <c r="I1" s="2" t="s">
        <v>604</v>
      </c>
      <c r="J1" s="2" t="s">
        <v>3</v>
      </c>
      <c r="K1" s="2" t="s">
        <v>4</v>
      </c>
      <c r="L1" s="2" t="s">
        <v>605</v>
      </c>
      <c r="M1" s="2" t="s">
        <v>606</v>
      </c>
    </row>
    <row r="2">
      <c r="A2" t="s">
        <v>17</v>
      </c>
      <c r="B2" t="s">
        <v>18</v>
      </c>
      <c r="C2" t="s">
        <v>19</v>
      </c>
      <c r="D2">
        <v>60000</v>
      </c>
      <c r="E2">
        <v>100</v>
      </c>
      <c r="F2">
        <v>80000</v>
      </c>
      <c r="G2">
        <v>120000</v>
      </c>
      <c r="H2">
        <v>8</v>
      </c>
      <c r="I2">
        <v>300</v>
      </c>
      <c r="J2" t="s">
        <v>20</v>
      </c>
      <c r="K2" t="s">
        <v>21</v>
      </c>
    </row>
    <row r="3">
      <c r="A3" t="s">
        <v>24</v>
      </c>
      <c r="B3" t="s">
        <v>25</v>
      </c>
      <c r="C3" t="s">
        <v>19</v>
      </c>
      <c r="D3">
        <v>90000</v>
      </c>
      <c r="E3">
        <v>140</v>
      </c>
      <c r="F3">
        <v>85000</v>
      </c>
      <c r="G3">
        <v>180000</v>
      </c>
      <c r="H3">
        <v>8</v>
      </c>
      <c r="I3">
        <v>300</v>
      </c>
      <c r="J3" t="s">
        <v>20</v>
      </c>
      <c r="K3" t="s">
        <v>26</v>
      </c>
    </row>
    <row r="4">
      <c r="A4" t="s">
        <v>27</v>
      </c>
      <c r="B4" t="s">
        <v>28</v>
      </c>
      <c r="C4" t="s">
        <v>19</v>
      </c>
      <c r="D4">
        <v>125000</v>
      </c>
      <c r="E4">
        <v>180</v>
      </c>
      <c r="F4">
        <v>90000</v>
      </c>
      <c r="G4">
        <v>250000</v>
      </c>
      <c r="H4">
        <v>10</v>
      </c>
      <c r="I4">
        <v>320</v>
      </c>
      <c r="J4" t="s">
        <v>29</v>
      </c>
      <c r="K4" t="s">
        <v>30</v>
      </c>
    </row>
    <row r="5">
      <c r="A5" t="s">
        <v>31</v>
      </c>
      <c r="B5" t="s">
        <v>32</v>
      </c>
      <c r="C5" t="s">
        <v>33</v>
      </c>
      <c r="D5">
        <v>45000</v>
      </c>
      <c r="E5">
        <v>60</v>
      </c>
      <c r="F5">
        <v>70000</v>
      </c>
      <c r="G5">
        <v>90000</v>
      </c>
      <c r="H5">
        <v>8</v>
      </c>
      <c r="I5">
        <v>300</v>
      </c>
      <c r="J5" t="s">
        <v>20</v>
      </c>
      <c r="K5" t="s">
        <v>34</v>
      </c>
    </row>
    <row r="6">
      <c r="A6" t="s">
        <v>35</v>
      </c>
      <c r="B6" t="s">
        <v>36</v>
      </c>
      <c r="C6" t="s">
        <v>19</v>
      </c>
      <c r="D6">
        <v>220000</v>
      </c>
      <c r="E6">
        <v>320</v>
      </c>
      <c r="F6">
        <v>95000</v>
      </c>
      <c r="G6">
        <v>450000</v>
      </c>
      <c r="H6">
        <v>12</v>
      </c>
      <c r="I6">
        <v>330</v>
      </c>
      <c r="J6" t="s">
        <v>37</v>
      </c>
      <c r="K6" t="s">
        <v>38</v>
      </c>
    </row>
    <row r="7">
      <c r="A7" t="s">
        <v>39</v>
      </c>
      <c r="B7" t="s">
        <v>40</v>
      </c>
      <c r="C7" t="s">
        <v>33</v>
      </c>
      <c r="D7">
        <v>80000</v>
      </c>
      <c r="E7">
        <v>90</v>
      </c>
      <c r="F7">
        <v>82000</v>
      </c>
      <c r="G7">
        <v>150000</v>
      </c>
      <c r="H7">
        <v>8</v>
      </c>
      <c r="I7">
        <v>310</v>
      </c>
      <c r="J7" t="s">
        <v>20</v>
      </c>
      <c r="K7" t="s">
        <v>41</v>
      </c>
    </row>
    <row r="8">
      <c r="A8" t="s">
        <v>42</v>
      </c>
      <c r="B8" t="s">
        <v>43</v>
      </c>
      <c r="C8" t="s">
        <v>44</v>
      </c>
      <c r="D8">
        <v>70000</v>
      </c>
      <c r="E8">
        <v>85</v>
      </c>
      <c r="F8">
        <v>65000</v>
      </c>
      <c r="G8">
        <v>140000</v>
      </c>
      <c r="H8">
        <v>8</v>
      </c>
      <c r="I8">
        <v>300</v>
      </c>
      <c r="J8" t="s">
        <v>45</v>
      </c>
      <c r="K8" t="s">
        <v>46</v>
      </c>
    </row>
    <row r="9">
      <c r="A9" t="s">
        <v>47</v>
      </c>
      <c r="B9" t="s">
        <v>48</v>
      </c>
      <c r="C9" t="s">
        <v>49</v>
      </c>
      <c r="D9">
        <v>180000</v>
      </c>
      <c r="E9">
        <v>260</v>
      </c>
      <c r="F9">
        <v>90000</v>
      </c>
      <c r="G9">
        <v>350000</v>
      </c>
      <c r="H9">
        <v>12</v>
      </c>
      <c r="I9">
        <v>330</v>
      </c>
      <c r="J9" t="s">
        <v>45</v>
      </c>
      <c r="K9" t="s">
        <v>50</v>
      </c>
    </row>
    <row r="10">
      <c r="A10" t="s">
        <v>51</v>
      </c>
      <c r="B10" t="s">
        <v>52</v>
      </c>
      <c r="C10" t="s">
        <v>53</v>
      </c>
      <c r="D10">
        <v>95000</v>
      </c>
      <c r="E10">
        <v>130</v>
      </c>
      <c r="F10">
        <v>76000</v>
      </c>
      <c r="G10">
        <v>180000</v>
      </c>
      <c r="H10">
        <v>8</v>
      </c>
      <c r="I10">
        <v>300</v>
      </c>
      <c r="J10" t="s">
        <v>45</v>
      </c>
      <c r="K10" t="s">
        <v>54</v>
      </c>
      <c r="L10">
        <v>1.3</v>
      </c>
      <c r="M10">
        <v>5.5</v>
      </c>
    </row>
    <row r="11">
      <c r="A11" t="s">
        <v>55</v>
      </c>
      <c r="B11" t="s">
        <v>56</v>
      </c>
      <c r="C11" t="s">
        <v>53</v>
      </c>
      <c r="D11">
        <v>150000</v>
      </c>
      <c r="E11">
        <v>220</v>
      </c>
      <c r="F11">
        <v>78000</v>
      </c>
      <c r="G11">
        <v>300000</v>
      </c>
      <c r="H11">
        <v>10</v>
      </c>
      <c r="I11">
        <v>320</v>
      </c>
      <c r="J11" t="s">
        <v>45</v>
      </c>
      <c r="K11" t="s">
        <v>57</v>
      </c>
    </row>
    <row r="12">
      <c r="A12" t="s">
        <v>58</v>
      </c>
      <c r="B12" t="s">
        <v>59</v>
      </c>
      <c r="C12" t="s">
        <v>33</v>
      </c>
      <c r="D12">
        <v>4000</v>
      </c>
      <c r="E12">
        <v>2</v>
      </c>
      <c r="F12">
        <v>45000</v>
      </c>
      <c r="G12">
        <v>6000</v>
      </c>
      <c r="H12">
        <v>8</v>
      </c>
      <c r="I12">
        <v>260</v>
      </c>
      <c r="J12" t="s">
        <v>20</v>
      </c>
      <c r="K12" t="s">
        <v>60</v>
      </c>
    </row>
    <row r="13">
      <c r="A13" t="s">
        <v>63</v>
      </c>
      <c r="B13" t="s">
        <v>64</v>
      </c>
      <c r="C13" t="s">
        <v>19</v>
      </c>
      <c r="D13">
        <v>55000</v>
      </c>
      <c r="E13">
        <v>70</v>
      </c>
      <c r="G13">
        <v>110000</v>
      </c>
      <c r="H13">
        <v>8</v>
      </c>
      <c r="I13">
        <v>300</v>
      </c>
      <c r="J13" t="s">
        <v>65</v>
      </c>
      <c r="K13" t="s">
        <v>66</v>
      </c>
    </row>
  </sheetData>
</worksheet>
</file>