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Executive Summary" sheetId="1" r:id="rId1"/>
    <sheet name="Detailed Calculations" sheetId="2" r:id="rId2"/>
    <sheet name="Audit Trail" sheetId="3" r:id="rId3"/>
    <sheet name="Sensitivity Analysis" sheetId="4" r:id="rId4"/>
    <sheet name="Charts" sheetId="5" r:id="rId5"/>
    <sheet name="Exceptions" sheetId="6" r:id="rId6"/>
    <sheet name="README" sheetId="7" r:id="rId7"/>
    <sheet name="Original Input" sheetId="8" r:id="rId8"/>
  </sheets>
</workbook>
</file>

<file path=xl/sharedStrings.xml><?xml version="1.0" encoding="utf-8"?>
<sst xmlns="http://schemas.openxmlformats.org/spreadsheetml/2006/main" count="817" uniqueCount="817">
  <si>
    <t>Customer</t>
  </si>
  <si>
    <t>Site</t>
  </si>
  <si>
    <t>Industry</t>
  </si>
  <si>
    <t>Region</t>
  </si>
  <si>
    <t>Notes</t>
  </si>
  <si>
    <t>Manual Cost (USD)</t>
  </si>
  <si>
    <t>Addressable Manual Cost (USD)</t>
  </si>
  <si>
    <t>Autonomous Cost (USD)</t>
  </si>
  <si>
    <t>Annual Saving (USD)</t>
  </si>
  <si>
    <t>Cost Ratio (current area)</t>
  </si>
  <si>
    <t>Cost Ratio (target area)</t>
  </si>
  <si>
    <t>Total Programme Cost Ratio</t>
  </si>
  <si>
    <t>Return %</t>
  </si>
  <si>
    <t>Payback Months</t>
  </si>
  <si>
    <t>Hours Multiple</t>
  </si>
  <si>
    <t>Docks Required</t>
  </si>
  <si>
    <t>Operators Required</t>
  </si>
  <si>
    <t>Status</t>
  </si>
  <si>
    <t>Recommendation</t>
  </si>
  <si>
    <t>Ørsted</t>
  </si>
  <si>
    <t>Hornsea Substation</t>
  </si>
  <si>
    <t>Offshore Wind</t>
  </si>
  <si>
    <t>North Sea</t>
  </si>
  <si>
    <t>Offshore. A technician visit costs a vessel day and a helicopter slot, so the fully loaded rate is several times onshore.</t>
  </si>
  <si>
    <t>calculated</t>
  </si>
  <si>
    <t>Strong case, proceed to scoped study</t>
  </si>
  <si>
    <t>Shell</t>
  </si>
  <si>
    <t>Pernis Refinery</t>
  </si>
  <si>
    <t>Oil &amp; Gas</t>
  </si>
  <si>
    <t>Europe</t>
  </si>
  <si>
    <t>Baseline discovery case used in the walkthrough.</t>
  </si>
  <si>
    <t>Viable, validate assumptions on site</t>
  </si>
  <si>
    <t>Aramco</t>
  </si>
  <si>
    <t>Ras Tanura</t>
  </si>
  <si>
    <t>Middle East</t>
  </si>
  <si>
    <t>Largest site in the portfolio. Expatriate packages lift the fully loaded rate.</t>
  </si>
  <si>
    <t>BP</t>
  </si>
  <si>
    <t>Rotterdam Refinery</t>
  </si>
  <si>
    <t>Expansion planned.</t>
  </si>
  <si>
    <t>Chevron</t>
  </si>
  <si>
    <t>Pipeline North</t>
  </si>
  <si>
    <t>North America</t>
  </si>
  <si>
    <t>Linear asset. Long transits between inspection points cut utilisation further.</t>
  </si>
  <si>
    <t>Marginal on labour alone, requires additional value pools to justify</t>
  </si>
  <si>
    <t>Siemens Energy</t>
  </si>
  <si>
    <t>Nordsee Wind Farm</t>
  </si>
  <si>
    <t>Renewables</t>
  </si>
  <si>
    <t>Target scaling is fractional here, 22 becomes 41.25.</t>
  </si>
  <si>
    <t>tier improves at target</t>
  </si>
  <si>
    <t>TotalEnergies</t>
  </si>
  <si>
    <t>Terminal C</t>
  </si>
  <si>
    <t>Energy</t>
  </si>
  <si>
    <t>Small site. Programme base cost is spread across few docks, so payback lengthens.</t>
  </si>
  <si>
    <t>Petrobras</t>
  </si>
  <si>
    <t>Terminal D</t>
  </si>
  <si>
    <t>South America</t>
  </si>
  <si>
    <t>Salary not supplied during discovery. Row is not priced.</t>
  </si>
  <si>
    <t>model incomplete</t>
  </si>
  <si>
    <t>Reliance</t>
  </si>
  <si>
    <t>Jamnagar</t>
  </si>
  <si>
    <t>Refinery</t>
  </si>
  <si>
    <t>India</t>
  </si>
  <si>
    <t>Labour cost per hour is below the autonomous cost per hour. Labour displacement alone does not carry this site.</t>
  </si>
  <si>
    <t>Labour case does not stand alone at these inputs</t>
  </si>
  <si>
    <t>Tata Steel</t>
  </si>
  <si>
    <t>Kalinganagar</t>
  </si>
  <si>
    <t>Manufacturing</t>
  </si>
  <si>
    <t>Same pattern as Jamnagar at smaller scale.</t>
  </si>
  <si>
    <t>NTPC</t>
  </si>
  <si>
    <t>Vindhyachal</t>
  </si>
  <si>
    <t>Power</t>
  </si>
  <si>
    <t>Operator cost overridden to the local market rate, which is the correct use of a per-row override.</t>
  </si>
  <si>
    <t>Adani Power</t>
  </si>
  <si>
    <t>Mundra Thermal</t>
  </si>
  <si>
    <t>Carries three per-row overrides, exercising the resolution order.</t>
  </si>
  <si>
    <t>Scenario</t>
  </si>
  <si>
    <t>Area priced</t>
  </si>
  <si>
    <t>Scale factor</t>
  </si>
  <si>
    <t>Docks per operator used</t>
  </si>
  <si>
    <t>Manual resources</t>
  </si>
  <si>
    <t>Manual hours</t>
  </si>
  <si>
    <t>Manual cost</t>
  </si>
  <si>
    <t>Hourly rate</t>
  </si>
  <si>
    <t>Hours per dock (availability)</t>
  </si>
  <si>
    <t>Utilisation</t>
  </si>
  <si>
    <t>Productive hours per dock</t>
  </si>
  <si>
    <t>Addressable share</t>
  </si>
  <si>
    <t>Addressable manual hours</t>
  </si>
  <si>
    <t>Addressable manual cost</t>
  </si>
  <si>
    <t>Non-addressable manual cost</t>
  </si>
  <si>
    <t>Docks before rounding</t>
  </si>
  <si>
    <t>Docks</t>
  </si>
  <si>
    <t>Operators before rounding</t>
  </si>
  <si>
    <t>Operators</t>
  </si>
  <si>
    <t>Autonomous cost</t>
  </si>
  <si>
    <t>Annual saving</t>
  </si>
  <si>
    <t>Cost ratio (addressable)</t>
  </si>
  <si>
    <t>Total programme cost</t>
  </si>
  <si>
    <t>Total programme cost ratio</t>
  </si>
  <si>
    <t>Implementation for this fleet</t>
  </si>
  <si>
    <t>Payback months</t>
  </si>
  <si>
    <t>Hours multiple</t>
  </si>
  <si>
    <t>Current area</t>
  </si>
  <si>
    <t>current</t>
  </si>
  <si>
    <t>TARGET AREA, resources scaled linearly, operator ratio switched to at-scale</t>
  </si>
  <si>
    <t>Target area</t>
  </si>
  <si>
    <t>target</t>
  </si>
  <si>
    <t>Line</t>
  </si>
  <si>
    <t>Formula in plain English</t>
  </si>
  <si>
    <t>Working (current area)</t>
  </si>
  <si>
    <t>Current</t>
  </si>
  <si>
    <t>Working (target area)</t>
  </si>
  <si>
    <t>Target</t>
  </si>
  <si>
    <t>Area priced (sq ft)</t>
  </si>
  <si>
    <t>the area this scenario is priced at</t>
  </si>
  <si>
    <t>180,000 sq ft</t>
  </si>
  <si>
    <t>300,000 sq ft</t>
  </si>
  <si>
    <t>target area ÷ current area (1.0 at the current area by definition)</t>
  </si>
  <si>
    <t>1.0 by definition, this is the present state</t>
  </si>
  <si>
    <t>300,000 ÷ 180,000 = 1.6667</t>
  </si>
  <si>
    <t>resources today, scaled by the scale factor at the target area</t>
  </si>
  <si>
    <t>5 as supplied by the customer</t>
  </si>
  <si>
    <t>5 × 1.6667 = 8.3333 (kept fractional, an extrapolation of the customer's headcount, not a purchase)</t>
  </si>
  <si>
    <t>Manual hours per year</t>
  </si>
  <si>
    <t>resources × shift hours per day × working days per year</t>
  </si>
  <si>
    <t>5 × 12 × 170 = 10,200</t>
  </si>
  <si>
    <t>8.3333 × 12 × 170 = 17,000</t>
  </si>
  <si>
    <t>Manual cost per year</t>
  </si>
  <si>
    <t>resources × fully loaded cost per resource per year</t>
  </si>
  <si>
    <t>5 × 380,000 = 1,900,000</t>
  </si>
  <si>
    <t>8.3333 × 380,000 = 3,166,666.67</t>
  </si>
  <si>
    <t>Effective hourly rate</t>
  </si>
  <si>
    <t>salary ÷ (shift hours per day × working days per year)</t>
  </si>
  <si>
    <t>380,000 ÷ (12 × 170) = 186.27</t>
  </si>
  <si>
    <t>Hours per dock per year</t>
  </si>
  <si>
    <t>dock operating hours per day × dock operating days per year</t>
  </si>
  <si>
    <t>24 × 365 = 8,760</t>
  </si>
  <si>
    <t>Dock utilisation</t>
  </si>
  <si>
    <t>share of operating hours that are actually productive, after weather, daylight, charge cycles and maintenance</t>
  </si>
  <si>
    <t>25% of 8,760 operating hours</t>
  </si>
  <si>
    <t>Productive hours per dock per year</t>
  </si>
  <si>
    <t>hours per dock × utilisation × substitution factor</t>
  </si>
  <si>
    <t>8,760 × 0.25 × 1 = 2,190</t>
  </si>
  <si>
    <t>Addressable share of manual work</t>
  </si>
  <si>
    <t>share of manual inspection hours that aerial inspection can displace at all</t>
  </si>
  <si>
    <t>35% (the remainder is confined space, thickness readings, tactile work, permits and reporting)</t>
  </si>
  <si>
    <t>manual hours × addressable share</t>
  </si>
  <si>
    <t>10,200 × 0.35 = 3,570</t>
  </si>
  <si>
    <t>17,000 × 0.35 = 5,950</t>
  </si>
  <si>
    <t>manual cost × addressable share, the only part autonomous inspection can save</t>
  </si>
  <si>
    <t>1,900,000 × 0.35 = 665,000</t>
  </si>
  <si>
    <t>3,166,666.67 × 0.35 = 1,108,333.33</t>
  </si>
  <si>
    <t>manual cost − addressable manual cost, which the customer keeps paying</t>
  </si>
  <si>
    <t>1,900,000 − 665,000 = 1,235,000</t>
  </si>
  <si>
    <t>3,166,666.67 − 1,108,333.33 = 2,058,333.33</t>
  </si>
  <si>
    <t>Docks required, before rounding</t>
  </si>
  <si>
    <t>addressable manual hours ÷ productive hours per dock</t>
  </si>
  <si>
    <t>3,570 ÷ 2,190 = 1.6301</t>
  </si>
  <si>
    <t>5,950 ÷ 2,190 = 2.7169</t>
  </si>
  <si>
    <t>Docks required</t>
  </si>
  <si>
    <t>docks before rounding, rounded up, a dock is a purchase, so part of one is a whole one</t>
  </si>
  <si>
    <t>round up 1.6301 = 2</t>
  </si>
  <si>
    <t>round up 2.7169 = 3</t>
  </si>
  <si>
    <t>Operators required, before rounding</t>
  </si>
  <si>
    <t>whole docks ÷ docks per operator (never the fractional dock count)</t>
  </si>
  <si>
    <t>2 ÷ 5 = 0.4</t>
  </si>
  <si>
    <t>3 ÷ 7 = 0.4286</t>
  </si>
  <si>
    <t>Operators required</t>
  </si>
  <si>
    <t>operators before rounding, rounded up, an operator is a hire</t>
  </si>
  <si>
    <t>round up 0.4 = 1</t>
  </si>
  <si>
    <t>round up 0.4286 = 1</t>
  </si>
  <si>
    <t>Autonomous cost per year</t>
  </si>
  <si>
    <t>docks × cost per dock per year + operators × cost per operator per year</t>
  </si>
  <si>
    <t>2 × 52,000 + 1 × 100,000 = 204,000</t>
  </si>
  <si>
    <t>3 × 52,000 + 1 × 100,000 = 256,000</t>
  </si>
  <si>
    <t>addressable manual cost − autonomous cost</t>
  </si>
  <si>
    <t>665,000 − 204,000 = 461,000</t>
  </si>
  <si>
    <t>1,108,333.33 − 256,000 = 852,333.33</t>
  </si>
  <si>
    <t>Cost ratio, addressable scope</t>
  </si>
  <si>
    <t>autonomous cost ÷ addressable manual cost</t>
  </si>
  <si>
    <t>204,000 ÷ 665,000 = 0.3068</t>
  </si>
  <si>
    <t>256,000 ÷ 1,108,333.33 = 0.231</t>
  </si>
  <si>
    <t>Return on autonomous spend</t>
  </si>
  <si>
    <t>annual saving ÷ autonomous cost</t>
  </si>
  <si>
    <t>461,000 ÷ 204,000 = 2.2598</t>
  </si>
  <si>
    <t>852,333.33 ÷ 256,000 = 3.3294</t>
  </si>
  <si>
    <t>Payback</t>
  </si>
  <si>
    <t>implementation for this fleet ÷ (annual saving ÷ 12)</t>
  </si>
  <si>
    <t>325,000 ÷ (461,000 ÷ 12) = 8.4599</t>
  </si>
  <si>
    <t>400,000 ÷ (852,333.33 ÷ 12) = 5.6316</t>
  </si>
  <si>
    <t>Total inspection programme cost, after</t>
  </si>
  <si>
    <t>autonomous cost + non-addressable manual cost, what the customer still pays in total</t>
  </si>
  <si>
    <t>204,000 + 1,235,000 = 1,439,000</t>
  </si>
  <si>
    <t>256,000 + 2,058,333.33 = 2,314,333.33</t>
  </si>
  <si>
    <t>total programme cost after ÷ total manual cost before</t>
  </si>
  <si>
    <t>1,439,000 ÷ 1,900,000 = 0.7574</t>
  </si>
  <si>
    <t>2,314,333.33 ÷ 3,166,666.67 = 0.7308</t>
  </si>
  <si>
    <t>programme base + docks × implementation per dock</t>
  </si>
  <si>
    <t>175,000 + 2 × 75,000 = 325,000</t>
  </si>
  <si>
    <t>175,000 + 3 × 75,000 = 400,000</t>
  </si>
  <si>
    <t>hours per dock per year ÷ (shift hours per day × working days per year)</t>
  </si>
  <si>
    <t>8,760 ÷ (12 × 170) = 4.2941</t>
  </si>
  <si>
    <t>Manual cost per sq ft</t>
  </si>
  <si>
    <t>manual cost ÷ area priced, a display metric, not a driver of the model</t>
  </si>
  <si>
    <t>1,900,000 ÷ 180,000 = 10.56</t>
  </si>
  <si>
    <t>3,166,666.67 ÷ 300,000 = 10.56</t>
  </si>
  <si>
    <t>Autonomous cost per sq ft</t>
  </si>
  <si>
    <t>autonomous cost ÷ area priced, a display metric, not a driver of the model</t>
  </si>
  <si>
    <t>204,000 ÷ 180,000 = 1.1333</t>
  </si>
  <si>
    <t>256,000 ÷ 300,000 = 0.8533</t>
  </si>
  <si>
    <t>Annual saving per sq ft</t>
  </si>
  <si>
    <t>annual saving ÷ area priced, a display metric, not a driver of the model</t>
  </si>
  <si>
    <t>461,000 ÷ 180,000 = 2.5611</t>
  </si>
  <si>
    <t>852,333.33 ÷ 300,000 = 2.8411</t>
  </si>
  <si>
    <t xml:space="preserve">, parameter sources, </t>
  </si>
  <si>
    <t>dockHours</t>
  </si>
  <si>
    <t>resolved from: built-in default</t>
  </si>
  <si>
    <t>24</t>
  </si>
  <si>
    <t>dockDays</t>
  </si>
  <si>
    <t>365</t>
  </si>
  <si>
    <t>subFactor</t>
  </si>
  <si>
    <t>1</t>
  </si>
  <si>
    <t>dockCost</t>
  </si>
  <si>
    <t>resolved from: Parameters sheet</t>
  </si>
  <si>
    <t>52000</t>
  </si>
  <si>
    <t>opCost</t>
  </si>
  <si>
    <t>100000</t>
  </si>
  <si>
    <t>ratioNow</t>
  </si>
  <si>
    <t>5</t>
  </si>
  <si>
    <t>ratioScale</t>
  </si>
  <si>
    <t>7</t>
  </si>
  <si>
    <t>implBase</t>
  </si>
  <si>
    <t>175000</t>
  </si>
  <si>
    <t>implPerDock</t>
  </si>
  <si>
    <t>75000</t>
  </si>
  <si>
    <t>utilisation</t>
  </si>
  <si>
    <t>0.25</t>
  </si>
  <si>
    <t>addressableShare</t>
  </si>
  <si>
    <t>0.35</t>
  </si>
  <si>
    <t>currency</t>
  </si>
  <si>
    <t>USD</t>
  </si>
  <si>
    <t>2,400,000 sq ft</t>
  </si>
  <si>
    <t>4,800,000 sq ft</t>
  </si>
  <si>
    <t>4,800,000 ÷ 2,400,000 = 2</t>
  </si>
  <si>
    <t>40 as supplied by the customer</t>
  </si>
  <si>
    <t>40 × 2 = 80 (kept fractional, an extrapolation of the customer's headcount, not a purchase)</t>
  </si>
  <si>
    <t>40 × 8 × 250 = 80,000</t>
  </si>
  <si>
    <t>80 × 8 × 250 = 160,000</t>
  </si>
  <si>
    <t>40 × 120,000 = 4,800,000</t>
  </si>
  <si>
    <t>80 × 120,000 = 9,600,000</t>
  </si>
  <si>
    <t>120,000 ÷ (8 × 250) = 60</t>
  </si>
  <si>
    <t>80,000 × 0.35 = 28,000</t>
  </si>
  <si>
    <t>160,000 × 0.35 = 56,000</t>
  </si>
  <si>
    <t>4,800,000 × 0.35 = 1,680,000</t>
  </si>
  <si>
    <t>9,600,000 × 0.35 = 3,360,000</t>
  </si>
  <si>
    <t>4,800,000 − 1,680,000 = 3,120,000</t>
  </si>
  <si>
    <t>9,600,000 − 3,360,000 = 6,240,000</t>
  </si>
  <si>
    <t>28,000 ÷ 2,190 = 12.79</t>
  </si>
  <si>
    <t>56,000 ÷ 2,190 = 25.57</t>
  </si>
  <si>
    <t>round up 12.79 = 13</t>
  </si>
  <si>
    <t>round up 25.57 = 26</t>
  </si>
  <si>
    <t>13 ÷ 5 = 2.6</t>
  </si>
  <si>
    <t>26 ÷ 7 = 3.7143</t>
  </si>
  <si>
    <t>round up 2.6 = 3</t>
  </si>
  <si>
    <t>round up 3.7143 = 4</t>
  </si>
  <si>
    <t>13 × 52,000 + 3 × 100,000 = 976,000</t>
  </si>
  <si>
    <t>26 × 52,000 + 4 × 100,000 = 1,752,000</t>
  </si>
  <si>
    <t>1,680,000 − 976,000 = 704,000</t>
  </si>
  <si>
    <t>3,360,000 − 1,752,000 = 1,608,000</t>
  </si>
  <si>
    <t>976,000 ÷ 1,680,000 = 0.581</t>
  </si>
  <si>
    <t>1,752,000 ÷ 3,360,000 = 0.5214</t>
  </si>
  <si>
    <t>704,000 ÷ 976,000 = 0.7213</t>
  </si>
  <si>
    <t>1,608,000 ÷ 1,752,000 = 0.9178</t>
  </si>
  <si>
    <t>1,150,000 ÷ (704,000 ÷ 12) = 19.6</t>
  </si>
  <si>
    <t>2,125,000 ÷ (1,608,000 ÷ 12) = 15.86</t>
  </si>
  <si>
    <t>976,000 + 3,120,000 = 4,096,000</t>
  </si>
  <si>
    <t>1,752,000 + 6,240,000 = 7,992,000</t>
  </si>
  <si>
    <t>4,096,000 ÷ 4,800,000 = 0.8533</t>
  </si>
  <si>
    <t>7,992,000 ÷ 9,600,000 = 0.8325</t>
  </si>
  <si>
    <t>175,000 + 13 × 75,000 = 1,150,000</t>
  </si>
  <si>
    <t>175,000 + 26 × 75,000 = 2,125,000</t>
  </si>
  <si>
    <t>8,760 ÷ (8 × 250) = 4.38</t>
  </si>
  <si>
    <t>9,600,000 ÷ 4,800,000 = 2</t>
  </si>
  <si>
    <t>976,000 ÷ 2,400,000 = 0.4067</t>
  </si>
  <si>
    <t>1,752,000 ÷ 4,800,000 = 0.365</t>
  </si>
  <si>
    <t>704,000 ÷ 2,400,000 = 0.2933</t>
  </si>
  <si>
    <t>1,608,000 ÷ 4,800,000 = 0.335</t>
  </si>
  <si>
    <t>9,200,000 sq ft</t>
  </si>
  <si>
    <t>18,000,000 sq ft</t>
  </si>
  <si>
    <t>18,000,000 ÷ 9,200,000 = 1.9565</t>
  </si>
  <si>
    <t>140 as supplied by the customer</t>
  </si>
  <si>
    <t>140 × 1.9565 = 273.91 (kept fractional, an extrapolation of the customer's headcount, not a purchase)</t>
  </si>
  <si>
    <t>140 × 10 × 250 = 350,000</t>
  </si>
  <si>
    <t>273.91 × 10 × 250 = 684,782.61</t>
  </si>
  <si>
    <t>140 × 145,000 = 20,300,000</t>
  </si>
  <si>
    <t>273.91 × 145,000 = 39,717,391.3</t>
  </si>
  <si>
    <t>145,000 ÷ (10 × 250) = 58</t>
  </si>
  <si>
    <t>350,000 × 0.35 = 122,500</t>
  </si>
  <si>
    <t>684,782.61 × 0.35 = 239,673.91</t>
  </si>
  <si>
    <t>20,300,000 × 0.35 = 7,105,000</t>
  </si>
  <si>
    <t>39,717,391.3 × 0.35 = 13,901,086.96</t>
  </si>
  <si>
    <t>20,300,000 − 7,105,000 = 13,195,000</t>
  </si>
  <si>
    <t>39,717,391.3 − 13,901,086.96 = 25,816,304.35</t>
  </si>
  <si>
    <t>122,500 ÷ 2,190 = 55.94</t>
  </si>
  <si>
    <t>239,673.91 ÷ 2,190 = 109.44</t>
  </si>
  <si>
    <t>round up 55.94 = 56</t>
  </si>
  <si>
    <t>round up 109.44 = 110</t>
  </si>
  <si>
    <t>56 ÷ 5 = 11.2</t>
  </si>
  <si>
    <t>110 ÷ 7 = 15.71</t>
  </si>
  <si>
    <t>round up 11.2 = 12</t>
  </si>
  <si>
    <t>round up 15.71 = 16</t>
  </si>
  <si>
    <t>56 × 52,000 + 12 × 100,000 = 4,112,000</t>
  </si>
  <si>
    <t>110 × 52,000 + 16 × 100,000 = 7,320,000</t>
  </si>
  <si>
    <t>7,105,000 − 4,112,000 = 2,993,000</t>
  </si>
  <si>
    <t>13,901,086.96 − 7,320,000 = 6,581,086.96</t>
  </si>
  <si>
    <t>4,112,000 ÷ 7,105,000 = 0.5787</t>
  </si>
  <si>
    <t>7,320,000 ÷ 13,901,086.96 = 0.5266</t>
  </si>
  <si>
    <t>2,993,000 ÷ 4,112,000 = 0.7279</t>
  </si>
  <si>
    <t>6,581,086.96 ÷ 7,320,000 = 0.8991</t>
  </si>
  <si>
    <t>4,375,000 ÷ (2,993,000 ÷ 12) = 17.54</t>
  </si>
  <si>
    <t>8,425,000 ÷ (6,581,086.96 ÷ 12) = 15.36</t>
  </si>
  <si>
    <t>4,112,000 + 13,195,000 = 17,307,000</t>
  </si>
  <si>
    <t>7,320,000 + 25,816,304.35 = 33,136,304.35</t>
  </si>
  <si>
    <t>17,307,000 ÷ 20,300,000 = 0.8526</t>
  </si>
  <si>
    <t>33,136,304.35 ÷ 39,717,391.3 = 0.8343</t>
  </si>
  <si>
    <t>175,000 + 56 × 75,000 = 4,375,000</t>
  </si>
  <si>
    <t>175,000 + 110 × 75,000 = 8,425,000</t>
  </si>
  <si>
    <t>8,760 ÷ (10 × 250) = 3.504</t>
  </si>
  <si>
    <t>20,300,000 ÷ 9,200,000 = 2.2065</t>
  </si>
  <si>
    <t>39,717,391.3 ÷ 18,000,000 = 2.2065</t>
  </si>
  <si>
    <t>4,112,000 ÷ 9,200,000 = 0.447</t>
  </si>
  <si>
    <t>7,320,000 ÷ 18,000,000 = 0.4067</t>
  </si>
  <si>
    <t>2,993,000 ÷ 9,200,000 = 0.3253</t>
  </si>
  <si>
    <t>6,581,086.96 ÷ 18,000,000 = 0.3656</t>
  </si>
  <si>
    <t>3,100,000 sq ft</t>
  </si>
  <si>
    <t>5,400,000 sq ft</t>
  </si>
  <si>
    <t>5,400,000 ÷ 3,100,000 = 1.7419</t>
  </si>
  <si>
    <t>52 as supplied by the customer</t>
  </si>
  <si>
    <t>52 × 1.7419 = 90.58 (kept fractional, an extrapolation of the customer's headcount, not a purchase)</t>
  </si>
  <si>
    <t>52 × 8 × 250 = 104,000</t>
  </si>
  <si>
    <t>90.58 × 8 × 250 = 181,161.29</t>
  </si>
  <si>
    <t>52 × 118,000 = 6,136,000</t>
  </si>
  <si>
    <t>90.58 × 118,000 = 10,688,516.13</t>
  </si>
  <si>
    <t>118,000 ÷ (8 × 250) = 59</t>
  </si>
  <si>
    <t>104,000 × 0.35 = 36,400</t>
  </si>
  <si>
    <t>181,161.29 × 0.35 = 63,406.45</t>
  </si>
  <si>
    <t>6,136,000 × 0.35 = 2,147,600</t>
  </si>
  <si>
    <t>10,688,516.13 × 0.35 = 3,740,980.65</t>
  </si>
  <si>
    <t>6,136,000 − 2,147,600 = 3,988,400</t>
  </si>
  <si>
    <t>10,688,516.13 − 3,740,980.65 = 6,947,535.48</t>
  </si>
  <si>
    <t>36,400 ÷ 2,190 = 16.62</t>
  </si>
  <si>
    <t>63,406.45 ÷ 2,190 = 28.95</t>
  </si>
  <si>
    <t>round up 16.62 = 17</t>
  </si>
  <si>
    <t>round up 28.95 = 29</t>
  </si>
  <si>
    <t>17 ÷ 5 = 3.4</t>
  </si>
  <si>
    <t>29 ÷ 7 = 4.1429</t>
  </si>
  <si>
    <t>round up 3.4 = 4</t>
  </si>
  <si>
    <t>round up 4.1429 = 5</t>
  </si>
  <si>
    <t>17 × 52,000 + 4 × 100,000 = 1,284,000</t>
  </si>
  <si>
    <t>29 × 52,000 + 5 × 100,000 = 2,008,000</t>
  </si>
  <si>
    <t>2,147,600 − 1,284,000 = 863,600</t>
  </si>
  <si>
    <t>3,740,980.65 − 2,008,000 = 1,732,980.65</t>
  </si>
  <si>
    <t>1,284,000 ÷ 2,147,600 = 0.5979</t>
  </si>
  <si>
    <t>2,008,000 ÷ 3,740,980.65 = 0.5368</t>
  </si>
  <si>
    <t>863,600 ÷ 1,284,000 = 0.6726</t>
  </si>
  <si>
    <t>1,732,980.65 ÷ 2,008,000 = 0.863</t>
  </si>
  <si>
    <t>1,450,000 ÷ (863,600 ÷ 12) = 20.15</t>
  </si>
  <si>
    <t>2,350,000 ÷ (1,732,980.65 ÷ 12) = 16.27</t>
  </si>
  <si>
    <t>1,284,000 + 3,988,400 = 5,272,400</t>
  </si>
  <si>
    <t>2,008,000 + 6,947,535.48 = 8,955,535.48</t>
  </si>
  <si>
    <t>5,272,400 ÷ 6,136,000 = 0.8593</t>
  </si>
  <si>
    <t>8,955,535.48 ÷ 10,688,516.13 = 0.8379</t>
  </si>
  <si>
    <t>175,000 + 17 × 75,000 = 1,450,000</t>
  </si>
  <si>
    <t>175,000 + 29 × 75,000 = 2,350,000</t>
  </si>
  <si>
    <t>6,136,000 ÷ 3,100,000 = 1.9794</t>
  </si>
  <si>
    <t>10,688,516.13 ÷ 5,400,000 = 1.9794</t>
  </si>
  <si>
    <t>1,284,000 ÷ 3,100,000 = 0.4142</t>
  </si>
  <si>
    <t>2,008,000 ÷ 5,400,000 = 0.3719</t>
  </si>
  <si>
    <t>863,600 ÷ 3,100,000 = 0.2786</t>
  </si>
  <si>
    <t>1,732,980.65 ÷ 5,400,000 = 0.3209</t>
  </si>
  <si>
    <t>5,800,000 sq ft</t>
  </si>
  <si>
    <t>9,500,000 sq ft</t>
  </si>
  <si>
    <t>9,500,000 ÷ 5,800,000 = 1.6379</t>
  </si>
  <si>
    <t>74 as supplied by the customer</t>
  </si>
  <si>
    <t>74 × 1.6379 = 121.21 (kept fractional, an extrapolation of the customer's headcount, not a purchase)</t>
  </si>
  <si>
    <t>74 × 10 × 240 = 177,600</t>
  </si>
  <si>
    <t>121.21 × 10 × 240 = 290,896.55</t>
  </si>
  <si>
    <t>74 × 125,000 = 9,250,000</t>
  </si>
  <si>
    <t>121.21 × 125,000 = 15,150,862.07</t>
  </si>
  <si>
    <t>125,000 ÷ (10 × 240) = 52.08</t>
  </si>
  <si>
    <t>20% of 8,760 operating hours</t>
  </si>
  <si>
    <t>8,760 × 0.2 × 1 = 1,752</t>
  </si>
  <si>
    <t>177,600 × 0.35 = 62,160</t>
  </si>
  <si>
    <t>290,896.55 × 0.35 = 101,813.79</t>
  </si>
  <si>
    <t>9,250,000 × 0.35 = 3,237,500</t>
  </si>
  <si>
    <t>15,150,862.07 × 0.35 = 5,302,801.72</t>
  </si>
  <si>
    <t>9,250,000 − 3,237,500 = 6,012,500</t>
  </si>
  <si>
    <t>15,150,862.07 − 5,302,801.72 = 9,848,060.34</t>
  </si>
  <si>
    <t>62,160 ÷ 1,752 = 35.48</t>
  </si>
  <si>
    <t>101,813.79 ÷ 1,752 = 58.11</t>
  </si>
  <si>
    <t>round up 35.48 = 36</t>
  </si>
  <si>
    <t>round up 58.11 = 59</t>
  </si>
  <si>
    <t>36 ÷ 5 = 7.2</t>
  </si>
  <si>
    <t>59 ÷ 7 = 8.4286</t>
  </si>
  <si>
    <t>round up 7.2 = 8</t>
  </si>
  <si>
    <t>round up 8.4286 = 9</t>
  </si>
  <si>
    <t>36 × 52,000 + 8 × 100,000 = 2,672,000</t>
  </si>
  <si>
    <t>59 × 52,000 + 9 × 100,000 = 3,968,000</t>
  </si>
  <si>
    <t>3,237,500 − 2,672,000 = 565,500</t>
  </si>
  <si>
    <t>5,302,801.72 − 3,968,000 = 1,334,801.72</t>
  </si>
  <si>
    <t>2,672,000 ÷ 3,237,500 = 0.8253</t>
  </si>
  <si>
    <t>3,968,000 ÷ 5,302,801.72 = 0.7483</t>
  </si>
  <si>
    <t>565,500 ÷ 2,672,000 = 0.2116</t>
  </si>
  <si>
    <t>1,334,801.72 ÷ 3,968,000 = 0.3364</t>
  </si>
  <si>
    <t>2,875,000 ÷ (565,500 ÷ 12) = 61.01</t>
  </si>
  <si>
    <t>4,600,000 ÷ (1,334,801.72 ÷ 12) = 41.35</t>
  </si>
  <si>
    <t>2,672,000 + 6,012,500 = 8,684,500</t>
  </si>
  <si>
    <t>3,968,000 + 9,848,060.34 = 13,816,060.34</t>
  </si>
  <si>
    <t>8,684,500 ÷ 9,250,000 = 0.9389</t>
  </si>
  <si>
    <t>13,816,060.34 ÷ 15,150,862.07 = 0.9119</t>
  </si>
  <si>
    <t>175,000 + 36 × 75,000 = 2,875,000</t>
  </si>
  <si>
    <t>175,000 + 59 × 75,000 = 4,600,000</t>
  </si>
  <si>
    <t>8,760 ÷ (10 × 240) = 3.65</t>
  </si>
  <si>
    <t>9,250,000 ÷ 5,800,000 = 1.5948</t>
  </si>
  <si>
    <t>15,150,862.07 ÷ 9,500,000 = 1.5948</t>
  </si>
  <si>
    <t>2,672,000 ÷ 5,800,000 = 0.4607</t>
  </si>
  <si>
    <t>3,968,000 ÷ 9,500,000 = 0.4177</t>
  </si>
  <si>
    <t>565,500 ÷ 5,800,000 = 0.0975</t>
  </si>
  <si>
    <t>1,334,801.72 ÷ 9,500,000 = 0.1405</t>
  </si>
  <si>
    <t>resolved from: row override</t>
  </si>
  <si>
    <t>0.2</t>
  </si>
  <si>
    <t>1,600,000 sq ft</t>
  </si>
  <si>
    <t>3,000,000 sq ft</t>
  </si>
  <si>
    <t>3,000,000 ÷ 1,600,000 = 1.875</t>
  </si>
  <si>
    <t>22 as supplied by the customer</t>
  </si>
  <si>
    <t>22 × 1.875 = 41.25 (kept fractional, an extrapolation of the customer's headcount, not a purchase)</t>
  </si>
  <si>
    <t>22 × 8 × 245 = 43,120</t>
  </si>
  <si>
    <t>41.25 × 8 × 245 = 80,850</t>
  </si>
  <si>
    <t>22 × 115,000 = 2,530,000</t>
  </si>
  <si>
    <t>41.25 × 115,000 = 4,743,750</t>
  </si>
  <si>
    <t>115,000 ÷ (8 × 245) = 58.67</t>
  </si>
  <si>
    <t>43,120 × 0.35 = 15,092</t>
  </si>
  <si>
    <t>80,850 × 0.35 = 28,297.5</t>
  </si>
  <si>
    <t>2,530,000 × 0.35 = 885,500</t>
  </si>
  <si>
    <t>4,743,750 × 0.35 = 1,660,312.5</t>
  </si>
  <si>
    <t>2,530,000 − 885,500 = 1,644,500</t>
  </si>
  <si>
    <t>4,743,750 − 1,660,312.5 = 3,083,437.5</t>
  </si>
  <si>
    <t>15,092 ÷ 2,190 = 6.8913</t>
  </si>
  <si>
    <t>28,297.5 ÷ 2,190 = 12.92</t>
  </si>
  <si>
    <t>round up 6.8913 = 7</t>
  </si>
  <si>
    <t>round up 12.92 = 13</t>
  </si>
  <si>
    <t>7 ÷ 5 = 1.4</t>
  </si>
  <si>
    <t>13 ÷ 7 = 1.8571</t>
  </si>
  <si>
    <t>round up 1.4 = 2</t>
  </si>
  <si>
    <t>round up 1.8571 = 2</t>
  </si>
  <si>
    <t>7 × 52,000 + 2 × 100,000 = 564,000</t>
  </si>
  <si>
    <t>13 × 52,000 + 2 × 100,000 = 876,000</t>
  </si>
  <si>
    <t>885,500 − 564,000 = 321,500</t>
  </si>
  <si>
    <t>1,660,312.5 − 876,000 = 784,312.5</t>
  </si>
  <si>
    <t>564,000 ÷ 885,500 = 0.6369</t>
  </si>
  <si>
    <t>876,000 ÷ 1,660,312.5 = 0.5276</t>
  </si>
  <si>
    <t>321,500 ÷ 564,000 = 0.57</t>
  </si>
  <si>
    <t>784,312.5 ÷ 876,000 = 0.8953</t>
  </si>
  <si>
    <t>700,000 ÷ (321,500 ÷ 12) = 26.13</t>
  </si>
  <si>
    <t>1,150,000 ÷ (784,312.5 ÷ 12) = 17.6</t>
  </si>
  <si>
    <t>564,000 + 1,644,500 = 2,208,500</t>
  </si>
  <si>
    <t>876,000 + 3,083,437.5 = 3,959,437.5</t>
  </si>
  <si>
    <t>2,208,500 ÷ 2,530,000 = 0.8729</t>
  </si>
  <si>
    <t>3,959,437.5 ÷ 4,743,750 = 0.8347</t>
  </si>
  <si>
    <t>175,000 + 7 × 75,000 = 700,000</t>
  </si>
  <si>
    <t>8,760 ÷ (8 × 245) = 4.4694</t>
  </si>
  <si>
    <t>2,530,000 ÷ 1,600,000 = 1.5813</t>
  </si>
  <si>
    <t>4,743,750 ÷ 3,000,000 = 1.5813</t>
  </si>
  <si>
    <t>564,000 ÷ 1,600,000 = 0.3525</t>
  </si>
  <si>
    <t>876,000 ÷ 3,000,000 = 0.292</t>
  </si>
  <si>
    <t>321,500 ÷ 1,600,000 = 0.2009</t>
  </si>
  <si>
    <t>784,312.5 ÷ 3,000,000 = 0.2614</t>
  </si>
  <si>
    <t>950,000 sq ft</t>
  </si>
  <si>
    <t>1,700,000 sq ft</t>
  </si>
  <si>
    <t>1,700,000 ÷ 950,000 = 1.7895</t>
  </si>
  <si>
    <t>16 as supplied by the customer</t>
  </si>
  <si>
    <t>16 × 1.7895 = 28.63 (kept fractional, an extrapolation of the customer's headcount, not a purchase)</t>
  </si>
  <si>
    <t>16 × 8 × 250 = 32,000</t>
  </si>
  <si>
    <t>28.63 × 8 × 250 = 57,263.16</t>
  </si>
  <si>
    <t>16 × 112,000 = 1,792,000</t>
  </si>
  <si>
    <t>28.63 × 112,000 = 3,206,736.84</t>
  </si>
  <si>
    <t>112,000 ÷ (8 × 250) = 56</t>
  </si>
  <si>
    <t>32,000 × 0.35 = 11,200</t>
  </si>
  <si>
    <t>57,263.16 × 0.35 = 20,042.11</t>
  </si>
  <si>
    <t>1,792,000 × 0.35 = 627,200</t>
  </si>
  <si>
    <t>3,206,736.84 × 0.35 = 1,122,357.89</t>
  </si>
  <si>
    <t>1,792,000 − 627,200 = 1,164,800</t>
  </si>
  <si>
    <t>3,206,736.84 − 1,122,357.89 = 2,084,378.95</t>
  </si>
  <si>
    <t>11,200 ÷ 2,190 = 5.1142</t>
  </si>
  <si>
    <t>20,042.11 ÷ 2,190 = 9.1516</t>
  </si>
  <si>
    <t>round up 5.1142 = 6</t>
  </si>
  <si>
    <t>round up 9.1516 = 10</t>
  </si>
  <si>
    <t>6 ÷ 5 = 1.2</t>
  </si>
  <si>
    <t>10 ÷ 7 = 1.4286</t>
  </si>
  <si>
    <t>round up 1.2 = 2</t>
  </si>
  <si>
    <t>round up 1.4286 = 2</t>
  </si>
  <si>
    <t>6 × 52,000 + 2 × 100,000 = 512,000</t>
  </si>
  <si>
    <t>10 × 52,000 + 2 × 100,000 = 720,000</t>
  </si>
  <si>
    <t>627,200 − 512,000 = 115,200</t>
  </si>
  <si>
    <t>1,122,357.89 − 720,000 = 402,357.89</t>
  </si>
  <si>
    <t>512,000 ÷ 627,200 = 0.8163</t>
  </si>
  <si>
    <t>720,000 ÷ 1,122,357.89 = 0.6415</t>
  </si>
  <si>
    <t>115,200 ÷ 512,000 = 0.225</t>
  </si>
  <si>
    <t>402,357.89 ÷ 720,000 = 0.5588</t>
  </si>
  <si>
    <t>625,000 ÷ (115,200 ÷ 12) = 65.1</t>
  </si>
  <si>
    <t>925,000 ÷ (402,357.89 ÷ 12) = 27.59</t>
  </si>
  <si>
    <t>512,000 + 1,164,800 = 1,676,800</t>
  </si>
  <si>
    <t>720,000 + 2,084,378.95 = 2,804,378.95</t>
  </si>
  <si>
    <t>1,676,800 ÷ 1,792,000 = 0.9357</t>
  </si>
  <si>
    <t>2,804,378.95 ÷ 3,206,736.84 = 0.8745</t>
  </si>
  <si>
    <t>175,000 + 6 × 75,000 = 625,000</t>
  </si>
  <si>
    <t>175,000 + 10 × 75,000 = 925,000</t>
  </si>
  <si>
    <t>1,792,000 ÷ 950,000 = 1.8863</t>
  </si>
  <si>
    <t>3,206,736.84 ÷ 1,700,000 = 1.8863</t>
  </si>
  <si>
    <t>512,000 ÷ 950,000 = 0.5389</t>
  </si>
  <si>
    <t>720,000 ÷ 1,700,000 = 0.4235</t>
  </si>
  <si>
    <t>115,200 ÷ 950,000 = 0.1213</t>
  </si>
  <si>
    <t>402,357.89 ÷ 1,700,000 = 0.2367</t>
  </si>
  <si>
    <t>Salary per Resource is missing</t>
  </si>
  <si>
    <t>7,400,000 sq ft</t>
  </si>
  <si>
    <t>14,000,000 sq ft</t>
  </si>
  <si>
    <t>14,000,000 ÷ 7,400,000 = 1.8919</t>
  </si>
  <si>
    <t>105 as supplied by the customer</t>
  </si>
  <si>
    <t>105 × 1.8919 = 198.65 (kept fractional, an extrapolation of the customer's headcount, not a purchase)</t>
  </si>
  <si>
    <t>105 × 12 × 260 = 327,600</t>
  </si>
  <si>
    <t>198.65 × 12 × 260 = 619,783.78</t>
  </si>
  <si>
    <t>105 × 74,000 = 7,770,000</t>
  </si>
  <si>
    <t>198.65 × 74,000 = 14,700,000</t>
  </si>
  <si>
    <t>74,000 ÷ (12 × 260) = 23.72</t>
  </si>
  <si>
    <t>327,600 × 0.35 = 114,660</t>
  </si>
  <si>
    <t>619,783.78 × 0.35 = 216,924.32</t>
  </si>
  <si>
    <t>7,770,000 × 0.35 = 2,719,500</t>
  </si>
  <si>
    <t>14,700,000 × 0.35 = 5,145,000</t>
  </si>
  <si>
    <t>7,770,000 − 2,719,500 = 5,050,500</t>
  </si>
  <si>
    <t>14,700,000 − 5,145,000 = 9,555,000</t>
  </si>
  <si>
    <t>114,660 ÷ 2,190 = 52.36</t>
  </si>
  <si>
    <t>216,924.32 ÷ 2,190 = 99.05</t>
  </si>
  <si>
    <t>round up 52.36 = 53</t>
  </si>
  <si>
    <t>round up 99.05 = 100</t>
  </si>
  <si>
    <t>53 ÷ 5 = 10.6</t>
  </si>
  <si>
    <t>100 ÷ 7 = 14.29</t>
  </si>
  <si>
    <t>round up 10.6 = 11</t>
  </si>
  <si>
    <t>round up 14.29 = 15</t>
  </si>
  <si>
    <t>53 × 52,000 + 11 × 88,000 = 3,724,000</t>
  </si>
  <si>
    <t>100 × 52,000 + 15 × 88,000 = 6,520,000</t>
  </si>
  <si>
    <t>2,719,500 − 3,724,000 = -1,004,500</t>
  </si>
  <si>
    <t>5,145,000 − 6,520,000 = -1,375,000</t>
  </si>
  <si>
    <t>3,724,000 ÷ 2,719,500 = 1.3694</t>
  </si>
  <si>
    <t>6,520,000 ÷ 5,145,000 = 1.2672</t>
  </si>
  <si>
    <t>-1,004,500 ÷ 3,724,000 = -0.2697</t>
  </si>
  <si>
    <t>-1,375,000 ÷ 6,520,000 = -0.2109</t>
  </si>
  <si>
    <t>no payback at these inputs, the model does not save money here</t>
  </si>
  <si>
    <t>3,724,000 + 5,050,500 = 8,774,500</t>
  </si>
  <si>
    <t>6,520,000 + 9,555,000 = 16,075,000</t>
  </si>
  <si>
    <t>8,774,500 ÷ 7,770,000 = 1.1293</t>
  </si>
  <si>
    <t>16,075,000 ÷ 14,700,000 = 1.0935</t>
  </si>
  <si>
    <t>175,000 + 53 × 75,000 = 4,150,000</t>
  </si>
  <si>
    <t>175,000 + 100 × 75,000 = 7,675,000</t>
  </si>
  <si>
    <t>8,760 ÷ (12 × 260) = 2.8077</t>
  </si>
  <si>
    <t>7,770,000 ÷ 7,400,000 = 1.05</t>
  </si>
  <si>
    <t>14,700,000 ÷ 14,000,000 = 1.05</t>
  </si>
  <si>
    <t>3,724,000 ÷ 7,400,000 = 0.5032</t>
  </si>
  <si>
    <t>6,520,000 ÷ 14,000,000 = 0.4657</t>
  </si>
  <si>
    <t>-1,004,500 ÷ 7,400,000 = -0.1357</t>
  </si>
  <si>
    <t>-1,375,000 ÷ 14,000,000 = -0.0982</t>
  </si>
  <si>
    <t>88000</t>
  </si>
  <si>
    <t>2,050,000 sq ft</t>
  </si>
  <si>
    <t>4,100,000 sq ft</t>
  </si>
  <si>
    <t>4,100,000 ÷ 2,050,000 = 2</t>
  </si>
  <si>
    <t>34 as supplied by the customer</t>
  </si>
  <si>
    <t>34 × 2 = 68 (kept fractional, an extrapolation of the customer's headcount, not a purchase)</t>
  </si>
  <si>
    <t>34 × 8 × 260 = 70,720</t>
  </si>
  <si>
    <t>68 × 8 × 260 = 141,440</t>
  </si>
  <si>
    <t>34 × 62,000 = 2,108,000</t>
  </si>
  <si>
    <t>68 × 62,000 = 4,216,000</t>
  </si>
  <si>
    <t>62,000 ÷ (8 × 260) = 29.81</t>
  </si>
  <si>
    <t>70,720 × 0.35 = 24,752</t>
  </si>
  <si>
    <t>141,440 × 0.35 = 49,504</t>
  </si>
  <si>
    <t>2,108,000 × 0.35 = 737,800</t>
  </si>
  <si>
    <t>4,216,000 × 0.35 = 1,475,600</t>
  </si>
  <si>
    <t>2,108,000 − 737,800 = 1,370,200</t>
  </si>
  <si>
    <t>4,216,000 − 1,475,600 = 2,740,400</t>
  </si>
  <si>
    <t>24,752 ÷ 2,190 = 11.3</t>
  </si>
  <si>
    <t>49,504 ÷ 2,190 = 22.6</t>
  </si>
  <si>
    <t>round up 11.3 = 12</t>
  </si>
  <si>
    <t>round up 22.6 = 23</t>
  </si>
  <si>
    <t>12 ÷ 5 = 2.4</t>
  </si>
  <si>
    <t>23 ÷ 7 = 3.2857</t>
  </si>
  <si>
    <t>round up 2.4 = 3</t>
  </si>
  <si>
    <t>round up 3.2857 = 4</t>
  </si>
  <si>
    <t>12 × 52,000 + 3 × 74,000 = 846,000</t>
  </si>
  <si>
    <t>23 × 52,000 + 4 × 74,000 = 1,492,000</t>
  </si>
  <si>
    <t>737,800 − 846,000 = -108,200</t>
  </si>
  <si>
    <t>1,475,600 − 1,492,000 = -16,400</t>
  </si>
  <si>
    <t>846,000 ÷ 737,800 = 1.1467</t>
  </si>
  <si>
    <t>1,492,000 ÷ 1,475,600 = 1.0111</t>
  </si>
  <si>
    <t>-108,200 ÷ 846,000 = -0.1279</t>
  </si>
  <si>
    <t>-16,400 ÷ 1,492,000 = -0.011</t>
  </si>
  <si>
    <t>846,000 + 1,370,200 = 2,216,200</t>
  </si>
  <si>
    <t>1,492,000 + 2,740,400 = 4,232,400</t>
  </si>
  <si>
    <t>2,216,200 ÷ 2,108,000 = 1.0513</t>
  </si>
  <si>
    <t>4,232,400 ÷ 4,216,000 = 1.0039</t>
  </si>
  <si>
    <t>175,000 + 12 × 75,000 = 1,075,000</t>
  </si>
  <si>
    <t>175,000 + 23 × 75,000 = 1,900,000</t>
  </si>
  <si>
    <t>8,760 ÷ (8 × 260) = 4.2115</t>
  </si>
  <si>
    <t>2,108,000 ÷ 2,050,000 = 1.0283</t>
  </si>
  <si>
    <t>4,216,000 ÷ 4,100,000 = 1.0283</t>
  </si>
  <si>
    <t>846,000 ÷ 2,050,000 = 0.4127</t>
  </si>
  <si>
    <t>1,492,000 ÷ 4,100,000 = 0.3639</t>
  </si>
  <si>
    <t>-108,200 ÷ 2,050,000 = -0.0528</t>
  </si>
  <si>
    <t>-16,400 ÷ 4,100,000 = -0.004</t>
  </si>
  <si>
    <t>74000</t>
  </si>
  <si>
    <t>4,300,000 sq ft</t>
  </si>
  <si>
    <t>8,400,000 sq ft</t>
  </si>
  <si>
    <t>8,400,000 ÷ 4,300,000 = 1.9535</t>
  </si>
  <si>
    <t>68 as supplied by the customer</t>
  </si>
  <si>
    <t>68 × 1.9535 = 132.84 (kept fractional, an extrapolation of the customer's headcount, not a purchase)</t>
  </si>
  <si>
    <t>68 × 10 × 250 = 170,000</t>
  </si>
  <si>
    <t>132.84 × 10 × 250 = 332,093.02</t>
  </si>
  <si>
    <t>68 × 61,000 = 4,148,000</t>
  </si>
  <si>
    <t>132.84 × 61,000 = 8,103,069.77</t>
  </si>
  <si>
    <t>61,000 ÷ (10 × 250) = 24.4</t>
  </si>
  <si>
    <t>170,000 × 0.35 = 59,500</t>
  </si>
  <si>
    <t>332,093.02 × 0.35 = 116,232.56</t>
  </si>
  <si>
    <t>4,148,000 × 0.35 = 1,451,800</t>
  </si>
  <si>
    <t>8,103,069.77 × 0.35 = 2,836,074.42</t>
  </si>
  <si>
    <t>4,148,000 − 1,451,800 = 2,696,200</t>
  </si>
  <si>
    <t>8,103,069.77 − 2,836,074.42 = 5,266,995.35</t>
  </si>
  <si>
    <t>59,500 ÷ 2,190 = 27.17</t>
  </si>
  <si>
    <t>116,232.56 ÷ 2,190 = 53.07</t>
  </si>
  <si>
    <t>round up 27.17 = 28</t>
  </si>
  <si>
    <t>round up 53.07 = 54</t>
  </si>
  <si>
    <t>28 ÷ 5 = 5.6</t>
  </si>
  <si>
    <t>54 ÷ 7 = 7.7143</t>
  </si>
  <si>
    <t>round up 5.6 = 6</t>
  </si>
  <si>
    <t>round up 7.7143 = 8</t>
  </si>
  <si>
    <t>28 × 52,000 + 6 × 73,000 = 1,894,000</t>
  </si>
  <si>
    <t>54 × 52,000 + 8 × 73,000 = 3,392,000</t>
  </si>
  <si>
    <t>1,451,800 − 1,894,000 = -442,200</t>
  </si>
  <si>
    <t>2,836,074.42 − 3,392,000 = -555,925.58</t>
  </si>
  <si>
    <t>1,894,000 ÷ 1,451,800 = 1.3046</t>
  </si>
  <si>
    <t>3,392,000 ÷ 2,836,074.42 = 1.196</t>
  </si>
  <si>
    <t>-442,200 ÷ 1,894,000 = -0.2335</t>
  </si>
  <si>
    <t>-555,925.58 ÷ 3,392,000 = -0.1639</t>
  </si>
  <si>
    <t>1,894,000 + 2,696,200 = 4,590,200</t>
  </si>
  <si>
    <t>3,392,000 + 5,266,995.35 = 8,658,995.35</t>
  </si>
  <si>
    <t>4,590,200 ÷ 4,148,000 = 1.1066</t>
  </si>
  <si>
    <t>8,658,995.35 ÷ 8,103,069.77 = 1.0686</t>
  </si>
  <si>
    <t>175,000 + 28 × 75,000 = 2,275,000</t>
  </si>
  <si>
    <t>175,000 + 54 × 75,000 = 4,225,000</t>
  </si>
  <si>
    <t>4,148,000 ÷ 4,300,000 = 0.9647</t>
  </si>
  <si>
    <t>8,103,069.77 ÷ 8,400,000 = 0.9647</t>
  </si>
  <si>
    <t>1,894,000 ÷ 4,300,000 = 0.4405</t>
  </si>
  <si>
    <t>3,392,000 ÷ 8,400,000 = 0.4038</t>
  </si>
  <si>
    <t>-442,200 ÷ 4,300,000 = -0.1028</t>
  </si>
  <si>
    <t>-555,925.58 ÷ 8,400,000 = -0.0662</t>
  </si>
  <si>
    <t>73000</t>
  </si>
  <si>
    <t>2,800,000 sq ft</t>
  </si>
  <si>
    <t>5,200,000 sq ft</t>
  </si>
  <si>
    <t>5,200,000 ÷ 2,800,000 = 1.8571</t>
  </si>
  <si>
    <t>46 as supplied by the customer</t>
  </si>
  <si>
    <t>46 × 1.8571 = 85.43 (kept fractional, an extrapolation of the customer's headcount, not a purchase)</t>
  </si>
  <si>
    <t>46 × 8 × 255 = 93,840</t>
  </si>
  <si>
    <t>85.43 × 8 × 255 = 174,274.29</t>
  </si>
  <si>
    <t>46 × 58,000 = 2,668,000</t>
  </si>
  <si>
    <t>85.43 × 58,000 = 4,954,857.14</t>
  </si>
  <si>
    <t>58,000 ÷ (8 × 255) = 28.43</t>
  </si>
  <si>
    <t>8,760 × 0.25 × 1.2 = 2,628</t>
  </si>
  <si>
    <t>93,840 × 0.35 = 32,844</t>
  </si>
  <si>
    <t>174,274.29 × 0.35 = 60,996</t>
  </si>
  <si>
    <t>2,668,000 × 0.35 = 933,800</t>
  </si>
  <si>
    <t>4,954,857.14 × 0.35 = 1,734,200</t>
  </si>
  <si>
    <t>2,668,000 − 933,800 = 1,734,200</t>
  </si>
  <si>
    <t>4,954,857.14 − 1,734,200 = 3,220,657.14</t>
  </si>
  <si>
    <t>32,844 ÷ 2,628 = 12.5</t>
  </si>
  <si>
    <t>60,996 ÷ 2,628 = 23.21</t>
  </si>
  <si>
    <t>round up 12.5 = 13</t>
  </si>
  <si>
    <t>round up 23.21 = 24</t>
  </si>
  <si>
    <t>13 ÷ 6.5 = 2</t>
  </si>
  <si>
    <t>24 ÷ 7 = 3.4286</t>
  </si>
  <si>
    <t>round up 2 = 2</t>
  </si>
  <si>
    <t>round up 3.4286 = 4</t>
  </si>
  <si>
    <t>13 × 52,000 + 2 × 70,000 = 816,000</t>
  </si>
  <si>
    <t>24 × 52,000 + 4 × 70,000 = 1,528,000</t>
  </si>
  <si>
    <t>933,800 − 816,000 = 117,800</t>
  </si>
  <si>
    <t>1,734,200 − 1,528,000 = 206,200</t>
  </si>
  <si>
    <t>816,000 ÷ 933,800 = 0.8738</t>
  </si>
  <si>
    <t>1,528,000 ÷ 1,734,200 = 0.8811</t>
  </si>
  <si>
    <t>117,800 ÷ 816,000 = 0.1444</t>
  </si>
  <si>
    <t>206,200 ÷ 1,528,000 = 0.1349</t>
  </si>
  <si>
    <t>1,150,000 ÷ (117,800 ÷ 12) = 117.15</t>
  </si>
  <si>
    <t>1,975,000 ÷ (206,200 ÷ 12) = 114.94</t>
  </si>
  <si>
    <t>816,000 + 1,734,200 = 2,550,200</t>
  </si>
  <si>
    <t>1,528,000 + 3,220,657.14 = 4,748,657.14</t>
  </si>
  <si>
    <t>2,550,200 ÷ 2,668,000 = 0.9558</t>
  </si>
  <si>
    <t>4,748,657.14 ÷ 4,954,857.14 = 0.9584</t>
  </si>
  <si>
    <t>175,000 + 24 × 75,000 = 1,975,000</t>
  </si>
  <si>
    <t>8,760 ÷ (8 × 255) = 4.2941</t>
  </si>
  <si>
    <t>2,668,000 ÷ 2,800,000 = 0.9529</t>
  </si>
  <si>
    <t>4,954,857.14 ÷ 5,200,000 = 0.9529</t>
  </si>
  <si>
    <t>816,000 ÷ 2,800,000 = 0.2914</t>
  </si>
  <si>
    <t>1,528,000 ÷ 5,200,000 = 0.2938</t>
  </si>
  <si>
    <t>117,800 ÷ 2,800,000 = 0.0421</t>
  </si>
  <si>
    <t>206,200 ÷ 5,200,000 = 0.0397</t>
  </si>
  <si>
    <t>1.2</t>
  </si>
  <si>
    <t>70000</t>
  </si>
  <si>
    <t>6.5</t>
  </si>
  <si>
    <t>Docks per operator</t>
  </si>
  <si>
    <t>Cost ratio</t>
  </si>
  <si>
    <t>PAYBACK IN MONTHS, BY DOCK UTILISATION AND ADDRESSABLE SHARE</t>
  </si>
  <si>
    <t>Blank cells are sites where the model does not save money at that combination.</t>
  </si>
  <si>
    <t>Ørsted, Hornsea Substation</t>
  </si>
  <si>
    <t>Utilisation \ addressable</t>
  </si>
  <si>
    <t>Break-even utilisation at the current addressable share</t>
  </si>
  <si>
    <t>Shell, Pernis Refinery</t>
  </si>
  <si>
    <t>Aramco, Ras Tanura</t>
  </si>
  <si>
    <t>BP, Rotterdam Refinery</t>
  </si>
  <si>
    <t>Chevron, Pipeline North</t>
  </si>
  <si>
    <t>Siemens Energy, Nordsee Wind Farm</t>
  </si>
  <si>
    <t>TotalEnergies, Terminal C</t>
  </si>
  <si>
    <t>Reliance, Jamnagar</t>
  </si>
  <si>
    <t>Tata Steel, Kalinganagar</t>
  </si>
  <si>
    <t>NTPC, Vindhyachal</t>
  </si>
  <si>
    <t>Adani Power, Mundra Thermal</t>
  </si>
  <si>
    <t>Charts</t>
  </si>
  <si>
    <t>Every series below is bound to a cell range on the Executive Summary sheet.</t>
  </si>
  <si>
    <t>Edit a figure there and these charts move with it, they are not pictures.</t>
  </si>
  <si>
    <t>Kind</t>
  </si>
  <si>
    <t>Field</t>
  </si>
  <si>
    <t>Reason</t>
  </si>
  <si>
    <t>invalid</t>
  </si>
  <si>
    <t>salary</t>
  </si>
  <si>
    <t>AUTONOMOUS INSPECTION ROI, MODEL OUTPUT</t>
  </si>
  <si>
    <t>Generated by the Drone ROI engine. Every figure derives from the model below.</t>
  </si>
  <si>
    <t>WHAT EACH SHEET CONTAINS</t>
  </si>
  <si>
    <t>Executive Summary, one row per site. Original input columns first, in their original order, then the calculated columns. Rows that could not be priced show blank figures and a status of "model incomplete".</t>
  </si>
  <si>
    <t>Detailed Calculations, every intermediate value, for the current area and again for the target area. The target block is separated by a header band.</t>
  </si>
  <si>
    <t>Audit Trail, each formula in plain English with its inputs and computed value, per site, plus the resolved source of every autonomous parameter.</t>
  </si>
  <si>
    <t>Sensitivity Analysis, autonomous cost and cost ratio at docks-per-operator of 2, 4, 6 and 8, per site, at the current area.</t>
  </si>
  <si>
    <t>Charts, native Excel charts bound to cell ranges on the Executive Summary. Editing a figure there moves the chart. These are not images.</t>
  </si>
  <si>
    <t>Exceptions, invalid or skipped rows with a specific reason each. Omitted when empty.</t>
  </si>
  <si>
    <t>Original Input, the source worksheet, unmodified.</t>
  </si>
  <si>
    <t>WHY THE HEADLINE FIGURES ARE NOT SPECTACULAR</t>
  </si>
  <si>
    <t>An earlier draft of this model produced a payback of half a month and a return of 340%. Those were alarm flags, not selling points, and three assumptions caused them.</t>
  </si>
  <si>
    <t>First, a dock was treated as productive for all 8,760 hours it can operate. Weather and daylight limits, the battery charge duty cycle, and maintenance and connectivity take most of those hours out. Utilisation is now an explicit parameter.</t>
  </si>
  <si>
    <t>Second, the entire manual inspection programme was treated as displaceable by a drone. Confined space entry, ultrasonic thickness measurement, tactile inspection, permits and reporting are not. Addressable share is now an explicit parameter and savings are measured only against the addressable scope.</t>
  </si>
  <si>
    <t>Third, implementation was a flat figure regardless of fleet size, which worked out at under 9,000 per dock for a 28-dock deployment. Implementation now has a programme base plus a per-dock cost.</t>
  </si>
  <si>
    <t>With those three corrected, a dock displaces roughly one full-time equivalent rather than three and a half, and returns a little under twice its own annual cost. Payback lands where a buyer would expect it to.</t>
  </si>
  <si>
    <t>THE MODEL</t>
  </si>
  <si>
    <t>manualHours   = resources x shiftHours x workDays</t>
  </si>
  <si>
    <t>manualCost    = resources x salary</t>
  </si>
  <si>
    <t>hourlyRate    = salary / (shiftHours x workDays)</t>
  </si>
  <si>
    <t>hoursPerDock  = dockHours x dockDays</t>
  </si>
  <si>
    <t>addressableHours     = manualHours x addressableShare</t>
  </si>
  <si>
    <t>addressableManualCost = manualCost x addressableShare</t>
  </si>
  <si>
    <t>productiveHours      = hoursPerDock x utilisation x subFactor</t>
  </si>
  <si>
    <t>docks         = roundUp( addressableHours / productiveHours )</t>
  </si>
  <si>
    <t>operators     = roundUp( docks / docksPerOperator )</t>
  </si>
  <si>
    <t>autoCost      = docks x dockCost + operators x opCost</t>
  </si>
  <si>
    <t>saving        = addressableManualCost - autoCost</t>
  </si>
  <si>
    <t>costRatio     = autoCost / addressableManualCost</t>
  </si>
  <si>
    <t>totalProgrammeCost = autoCost + nonAddressableManualCost</t>
  </si>
  <si>
    <t>implCost      = implBase + docks x implPerDock</t>
  </si>
  <si>
    <t>returnPct     = saving / autoCost</t>
  </si>
  <si>
    <t>paybackMonths = implCost / (saving / 12)</t>
  </si>
  <si>
    <t>Saving is measured against the addressable scope only. The customer keeps paying for the work a drone cannot do, so counting it as saved would be a fiction. Total programme cost shows what the whole inspection budget becomes.</t>
  </si>
  <si>
    <t>hoursMultiple = hoursPerDock / (shiftHours x workDays)</t>
  </si>
  <si>
    <t>ROUNDING, AND WHY IT DIFFERS BY QUANTITY</t>
  </si>
  <si>
    <t>Docks and operators each round up, independently. A dock is a purchase and an operator is a hire: you cannot buy four tenths of a dock or hire a fifth of a person. The operator ratio is applied to the whole dock count, never to a fractional one.</t>
  </si>
  <si>
    <t>Manual resources at the target area are NOT rounded. They are a linear extrapolation of the customer's own staffing that nobody has committed to, not something we procure, a different epistemic status, so a different rule. Rounding 168.75 up to 169 would also inflate manual cost, which flatters the seller, and would turn manual cost into a step function that obscures the linear-versus-sub-linear contrast the target scenario exists to show. Target-area resources are therefore shown to two decimal places.</t>
  </si>
  <si>
    <t>THE TARGET-AREA SCENARIO</t>
  </si>
  <si>
    <t>Resources are scaled by targetArea / area and every line is recomputed, substituting the at-scale docks-per-operator ratio. Nothing is averaged, smoothed or interpolated between the two scenarios.</t>
  </si>
  <si>
    <t>AREA, AND WHAT IT DOES</t>
  </si>
  <si>
    <t>Area enters the model only as the ratio targetArea / area, and as the denominator of the cost-per-unit-area display lines. The model does not price per square foot. If a customer engineer asks where the square footage went, that is the honest answer.</t>
  </si>
  <si>
    <t>An optional Area Unit column is read if present. If the current and target areas carry different units, the row is not priced and appears in Exceptions. If no unit is given, both areas are assumed to share whatever unit the customer used, safe exactly as long as they match. A scale factor outside roughly 0.1x to 50x raises a warning, because that band catches a square-feet-against-acres mix-up without refusing a genuine tenfold expansion.</t>
  </si>
  <si>
    <t>ROW VALIDATION</t>
  </si>
  <si>
    <t>A row is not priced if any required field is missing, non-numeric, negative or zero. Required fields: current area, manual resources, salary, target area, shift hours, working days.</t>
  </si>
  <si>
    <t>Salary and target area are included in the zero check even though the brief names only four fields, because a zero in either produces a division by zero: zero salary makes manual cost zero and the cost ratio infinite, and zero target area collapses the target scenario. No output may contain NaN or infinity, and that requirement wins.</t>
  </si>
  <si>
    <t>Invalid rows are never guessed at. They appear in Exceptions with a specific reason, and in the Executive Summary with blank figures and no recommendation text.</t>
  </si>
  <si>
    <t>THE RECOMMENDATION RULE</t>
  </si>
  <si>
    <t>Evaluated in this order, on the CURRENT-AREA figures:</t>
  </si>
  <si>
    <t>1. costRatio &lt;= 0.35 AND paybackMonths &lt;= 12  -&gt;  "Strong case, proceed to scoped study"</t>
  </si>
  <si>
    <t>2. costRatio &lt;= 0.60 AND paybackMonths &lt;= 24  -&gt;  "Viable, validate assumptions on site"</t>
  </si>
  <si>
    <t>3. costRatio &gt;= 1.00                          -&gt;  "Labour case does not stand alone at these inputs"</t>
  </si>
  <si>
    <t>4. otherwise                                  -&gt;  "Marginal on labour alone, requires additional value pools to justify"</t>
  </si>
  <si>
    <t>Both conditions are required in tiers 1 and 2, not either. Invalid rows receive no recommendation at all.</t>
  </si>
  <si>
    <t>Where the current and target areas fall into different tiers, the Status column says so ("tier improves at target" or "tier weakens at target"). That is a signal, not a conflict, and neither figure is silently preferred.</t>
  </si>
  <si>
    <t>These are rule-derived assessments of what the model shows at the inputs given. They are not guarantees, forecasts or predictions of outcome.</t>
  </si>
  <si>
    <t>PARAMETER RESOLUTION</t>
  </si>
  <si>
    <t>Each autonomous parameter is resolved in this order: a per-row override column, then a Parameters sheet in the input workbook, then the built-in default. The source is recorded for every parameter of every site in the Audit Trail. A tier that supplies a present-but-invalid value does not fall through silently, the rejection is recorded.</t>
  </si>
  <si>
    <t>SOURCE OF EVERY DEFAULT</t>
  </si>
  <si>
    <t>All autonomous-side defaults are placeholders. None is derived from commercial data and none is an industry benchmark. They exist so the model runs before real figures are available, and they must be replaced before this workbook is shown to a customer.</t>
  </si>
  <si>
    <t>dockHours = 24   dockDays = 365   subFactor = 1</t>
  </si>
  <si>
    <t>dockCost = 52000   opCost = 100000</t>
  </si>
  <si>
    <t>docksPerOperator now = 5   at scale = 7</t>
  </si>
  <si>
    <t>implementation = 175000   currency = USD</t>
  </si>
  <si>
    <t>THE SUBSTITUTION FACTOR IS THE KEY UNCERTAINTY</t>
  </si>
  <si>
    <t>It expresses drone hours against labour hours. The default of 1.0 is deliberately conservative: a docked drone does not spend time mobilising to the asset, so the true figure is likely higher than 1.0. It should be raised only against evidence from the site in question, and it moves the dock count more than any other parameter.</t>
  </si>
  <si>
    <t>SCOPE LIMITATION</t>
  </si>
  <si>
    <t>This model prices labour displacement only.</t>
  </si>
  <si>
    <t>It explicitly excludes avoided scaffolding and rope access, avoided shutdown windows, compliance penalty exposure, and unplanned downtime. At industrial scale each of these is typically larger than the labour line. A business case built on this workbook alone understates the value, and should be read as a floor rather than an estimate.</t>
  </si>
  <si>
    <t>No industry benchmark figure appears anywhere in this workbook. Every number is either derived from the model or was supplied by the user.</t>
  </si>
  <si>
    <t>Current Survey Area (sq ft)</t>
  </si>
  <si>
    <t>Manual Resources</t>
  </si>
  <si>
    <t>Salary per Resource ($/yr)</t>
  </si>
  <si>
    <t>Target Area (sq ft)</t>
  </si>
  <si>
    <t>Shift Hours</t>
  </si>
  <si>
    <t>Working Days</t>
  </si>
  <si>
    <t>Dock Utilisation</t>
  </si>
  <si>
    <t>Cost per Operator per Year</t>
  </si>
  <si>
    <t>Substitution Factor</t>
  </si>
  <si>
    <t>Docks per Operator Now</t>
  </si>
</sst>
</file>

<file path=xl/styles.xml><?xml version="1.0" encoding="utf-8"?>
<styleSheet xmlns="http://schemas.openxmlformats.org/spreadsheetml/2006/main">
  <numFmts count="5">
    <numFmt numFmtId="164" formatCode="#,##0;[Red]-#,##0"/>
    <numFmt numFmtId="165" formatCode="0.0%"/>
    <numFmt numFmtId="166" formatCode="0.0"/>
    <numFmt numFmtId="167" formatCode="0.0&quot;x&quot;"/>
    <numFmt numFmtId="168" formatCode="#,##0.00;[Red]-#,##0.00"/>
  </numFmts>
  <fonts count="2">
    <font>
      <name val="Calibri"/>
      <family val="2"/>
      <color theme="1"/>
      <sz val="11"/>
      <scheme val="minor"/>
    </font>
    <font>
      <b/>
    </font>
  </fonts>
  <fills count="3">
    <fill>
      <patternFill/>
    </fill>
    <fill>
      <patternFill patternType="gray125"/>
    </fill>
    <fill>
      <patternFill patternType="solid">
        <fgColor rgb="FFE4EDEF"/>
      </patternFill>
    </fill>
  </fills>
  <borders count="1">
    <border/>
  </borders>
  <cellStyleXfs count="1">
    <xf numFmtId="0" fontId="0" fillId="0" borderId="0"/>
  </cellStyleXfs>
  <cellXfs count="11">
    <xf numFmtId="0" fontId="0" fillId="0" borderId="0"/>
    <xf numFmtId="0" fontId="0" fillId="2" borderId="0" applyFill="1"/>
    <xf numFmtId="0" fontId="1" fillId="2" borderId="0" applyFont="1" applyFill="1"/>
    <xf numFmtId="164" fontId="0" fillId="0" borderId="0" applyNumberFormat="1"/>
    <xf numFmtId="165" fontId="0" fillId="0" borderId="0" applyNumberFormat="1"/>
    <xf numFmtId="9" fontId="0" fillId="0" borderId="0" applyNumberFormat="1"/>
    <xf numFmtId="166" fontId="0" fillId="0" borderId="0" applyNumberFormat="1"/>
    <xf numFmtId="167" fontId="0" fillId="0" borderId="0" applyNumberFormat="1"/>
    <xf numFmtId="3" fontId="0" fillId="0" borderId="0" applyNumberFormat="1"/>
    <xf numFmtId="4" fontId="0" fillId="0" borderId="0" applyNumberFormat="1"/>
    <xf numFmtId="168" fontId="0" fillId="0" borderId="0" applyNumberFormat="1"/>
  </cell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haredStrings" Target="sharedStrings.xml"/><Relationship Id="rId1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Manual vs Autonomous Cost</a:t>
            </a:r>
          </a:p>
        </c:rich>
      </c:tx>
      <c:layout/>
      <c:overlay val="0"/>
    </c:title>
    <c:autoTitleDeleted val="0"/>
    <c:plotArea>
      <c:layout/>
      <c:barChart>
        <c:barDir val="col"/>
        <c:grouping val="clustered"/>
        <c:varyColors val="0"/>
        <c:ser>
          <c:idx val="0"/>
          <c:order val="0"/>
          <c:tx>
            <c:strRef>
              <c:f>'Executive Summary'!$F$1</c:f>
            </c:strRef>
          </c:tx>
          <c:cat>
            <c:strRef>
              <c:f>'Executive Summary'!$A$2:$A$13</c:f>
            </c:strRef>
          </c:cat>
          <c:val>
            <c:numRef>
              <c:f>'Executive Summary'!$F$2:$F$13</c:f>
            </c:numRef>
          </c:val>
        </c:ser>
        <c:ser>
          <c:idx val="1"/>
          <c:order val="1"/>
          <c:tx>
            <c:strRef>
              <c:f>'Executive Summary'!$H$1</c:f>
            </c:strRef>
          </c:tx>
          <c:cat>
            <c:strRef>
              <c:f>'Executive Summary'!$A$2:$A$13</c:f>
            </c:strRef>
          </c:cat>
          <c:val>
            <c:numRef>
              <c:f>'Executive Summary'!$H$2:$H$13</c:f>
            </c:numRef>
          </c:val>
        </c:ser>
        <c:gapWidth val="60"/>
        <c:axId val="1000"/>
        <c:axId val="1001"/>
      </c:barChart>
      <c:catAx>
        <c:axId val="1000"/>
        <c:scaling>
          <c:orientation val="minMax"/>
        </c:scaling>
        <c:delete val="0"/>
        <c:axPos val="b"/>
        <c:numFmt formatCode="General" sourceLinked="1"/>
        <c:majorTickMark val="out"/>
        <c:minorTickMark val="none"/>
        <c:tickLblPos val="nextTo"/>
        <c:crossAx val="1001"/>
        <c:crosses val="autoZero"/>
        <c:auto val="1"/>
        <c:lblAlgn val="ctr"/>
        <c:lblOffset val="100"/>
        <c:noMultiLvlLbl val="0"/>
      </c:catAx>
      <c:valAx>
        <c:axId val="1001"/>
        <c:scaling>
          <c:orientation val="minMax"/>
        </c:scaling>
        <c:delete val="0"/>
        <c:axPos val="l"/>
        <c:numFmt formatCode="#,##0" sourceLinked="0"/>
        <c:majorTickMark val="out"/>
        <c:minorTickMark val="none"/>
        <c:tickLblPos val="nextTo"/>
        <c:crossAx val="1000"/>
        <c:crosses val="autoZero"/>
        <c:crossBetween val="between"/>
      </c:valAx>
    </c:plotArea>
    <c:legend>
      <c:legendPos val="b"/>
    </c:legend>
    <c:plotVisOnly val="1"/>
    <c:dispBlanksAs val="gap"/>
  </c:char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Annual Savings</a:t>
            </a:r>
          </a:p>
        </c:rich>
      </c:tx>
      <c:layout/>
      <c:overlay val="0"/>
    </c:title>
    <c:autoTitleDeleted val="0"/>
    <c:plotArea>
      <c:layout/>
      <c:barChart>
        <c:barDir val="col"/>
        <c:grouping val="clustered"/>
        <c:varyColors val="0"/>
        <c:ser>
          <c:idx val="0"/>
          <c:order val="0"/>
          <c:tx>
            <c:strRef>
              <c:f>'Executive Summary'!$I$1</c:f>
            </c:strRef>
          </c:tx>
          <c:cat>
            <c:strRef>
              <c:f>'Executive Summary'!$A$2:$A$13</c:f>
            </c:strRef>
          </c:cat>
          <c:val>
            <c:numRef>
              <c:f>'Executive Summary'!$I$2:$I$13</c:f>
            </c:numRef>
          </c:val>
        </c:ser>
        <c:gapWidth val="60"/>
        <c:axId val="1002"/>
        <c:axId val="1003"/>
      </c:barChart>
      <c:catAx>
        <c:axId val="1002"/>
        <c:scaling>
          <c:orientation val="minMax"/>
        </c:scaling>
        <c:delete val="0"/>
        <c:axPos val="b"/>
        <c:numFmt formatCode="General" sourceLinked="1"/>
        <c:majorTickMark val="out"/>
        <c:minorTickMark val="none"/>
        <c:tickLblPos val="nextTo"/>
        <c:crossAx val="1003"/>
        <c:crosses val="autoZero"/>
        <c:auto val="1"/>
        <c:lblAlgn val="ctr"/>
        <c:lblOffset val="100"/>
        <c:noMultiLvlLbl val="0"/>
      </c:catAx>
      <c:valAx>
        <c:axId val="1003"/>
        <c:scaling>
          <c:orientation val="minMax"/>
        </c:scaling>
        <c:delete val="0"/>
        <c:axPos val="l"/>
        <c:numFmt formatCode="#,##0" sourceLinked="0"/>
        <c:majorTickMark val="out"/>
        <c:minorTickMark val="none"/>
        <c:tickLblPos val="nextTo"/>
        <c:crossAx val="1002"/>
        <c:crosses val="autoZero"/>
        <c:crossBetween val="between"/>
      </c:valAx>
    </c:plotArea>
    <c:legend>
      <c:legendPos val="b"/>
    </c:legend>
    <c:plotVisOnly val="1"/>
    <c:dispBlanksAs val="gap"/>
  </c:char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Cost Ratio</a:t>
            </a:r>
          </a:p>
        </c:rich>
      </c:tx>
      <c:layout/>
      <c:overlay val="0"/>
    </c:title>
    <c:autoTitleDeleted val="0"/>
    <c:plotArea>
      <c:layout/>
      <c:barChart>
        <c:barDir val="col"/>
        <c:grouping val="clustered"/>
        <c:varyColors val="0"/>
        <c:ser>
          <c:idx val="0"/>
          <c:order val="0"/>
          <c:tx>
            <c:strRef>
              <c:f>'Executive Summary'!$J$1</c:f>
            </c:strRef>
          </c:tx>
          <c:cat>
            <c:strRef>
              <c:f>'Executive Summary'!$A$2:$A$13</c:f>
            </c:strRef>
          </c:cat>
          <c:val>
            <c:numRef>
              <c:f>'Executive Summary'!$J$2:$J$13</c:f>
            </c:numRef>
          </c:val>
        </c:ser>
        <c:ser>
          <c:idx val="1"/>
          <c:order val="1"/>
          <c:tx>
            <c:strRef>
              <c:f>'Executive Summary'!$K$1</c:f>
            </c:strRef>
          </c:tx>
          <c:cat>
            <c:strRef>
              <c:f>'Executive Summary'!$A$2:$A$13</c:f>
            </c:strRef>
          </c:cat>
          <c:val>
            <c:numRef>
              <c:f>'Executive Summary'!$K$2:$K$13</c:f>
            </c:numRef>
          </c:val>
        </c:ser>
        <c:gapWidth val="60"/>
        <c:axId val="1004"/>
        <c:axId val="1005"/>
      </c:barChart>
      <c:catAx>
        <c:axId val="1004"/>
        <c:scaling>
          <c:orientation val="minMax"/>
        </c:scaling>
        <c:delete val="0"/>
        <c:axPos val="b"/>
        <c:numFmt formatCode="General" sourceLinked="1"/>
        <c:majorTickMark val="out"/>
        <c:minorTickMark val="none"/>
        <c:tickLblPos val="nextTo"/>
        <c:crossAx val="1005"/>
        <c:crosses val="autoZero"/>
        <c:auto val="1"/>
        <c:lblAlgn val="ctr"/>
        <c:lblOffset val="100"/>
        <c:noMultiLvlLbl val="0"/>
      </c:catAx>
      <c:valAx>
        <c:axId val="1005"/>
        <c:scaling>
          <c:orientation val="minMax"/>
        </c:scaling>
        <c:delete val="0"/>
        <c:axPos val="l"/>
        <c:numFmt formatCode="0.0%" sourceLinked="0"/>
        <c:majorTickMark val="out"/>
        <c:minorTickMark val="none"/>
        <c:tickLblPos val="nextTo"/>
        <c:crossAx val="1004"/>
        <c:crosses val="autoZero"/>
        <c:crossBetween val="between"/>
      </c:valAx>
    </c:plotArea>
    <c:legend>
      <c:legendPos val="b"/>
    </c:legend>
    <c:plotVisOnly val="1"/>
    <c:dispBlanksAs val="gap"/>
  </c:char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Return %</a:t>
            </a:r>
          </a:p>
        </c:rich>
      </c:tx>
      <c:layout/>
      <c:overlay val="0"/>
    </c:title>
    <c:autoTitleDeleted val="0"/>
    <c:plotArea>
      <c:layout/>
      <c:barChart>
        <c:barDir val="col"/>
        <c:grouping val="clustered"/>
        <c:varyColors val="0"/>
        <c:ser>
          <c:idx val="0"/>
          <c:order val="0"/>
          <c:tx>
            <c:strRef>
              <c:f>'Executive Summary'!$M$1</c:f>
            </c:strRef>
          </c:tx>
          <c:cat>
            <c:strRef>
              <c:f>'Executive Summary'!$A$2:$A$13</c:f>
            </c:strRef>
          </c:cat>
          <c:val>
            <c:numRef>
              <c:f>'Executive Summary'!$M$2:$M$13</c:f>
            </c:numRef>
          </c:val>
        </c:ser>
        <c:gapWidth val="60"/>
        <c:axId val="1006"/>
        <c:axId val="1007"/>
      </c:barChart>
      <c:catAx>
        <c:axId val="1006"/>
        <c:scaling>
          <c:orientation val="minMax"/>
        </c:scaling>
        <c:delete val="0"/>
        <c:axPos val="b"/>
        <c:numFmt formatCode="General" sourceLinked="1"/>
        <c:majorTickMark val="out"/>
        <c:minorTickMark val="none"/>
        <c:tickLblPos val="nextTo"/>
        <c:crossAx val="1007"/>
        <c:crosses val="autoZero"/>
        <c:auto val="1"/>
        <c:lblAlgn val="ctr"/>
        <c:lblOffset val="100"/>
        <c:noMultiLvlLbl val="0"/>
      </c:catAx>
      <c:valAx>
        <c:axId val="1007"/>
        <c:scaling>
          <c:orientation val="minMax"/>
        </c:scaling>
        <c:delete val="0"/>
        <c:axPos val="l"/>
        <c:numFmt formatCode="0%" sourceLinked="0"/>
        <c:majorTickMark val="out"/>
        <c:minorTickMark val="none"/>
        <c:tickLblPos val="nextTo"/>
        <c:crossAx val="1006"/>
        <c:crosses val="autoZero"/>
        <c:crossBetween val="between"/>
      </c:valAx>
    </c:plotArea>
    <c:legend>
      <c:legendPos val="b"/>
    </c:legend>
    <c:plotVisOnly val="1"/>
    <c:dispBlanksAs val="gap"/>
  </c:char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Payback Months</a:t>
            </a:r>
          </a:p>
        </c:rich>
      </c:tx>
      <c:layout/>
      <c:overlay val="0"/>
    </c:title>
    <c:autoTitleDeleted val="0"/>
    <c:plotArea>
      <c:layout/>
      <c:barChart>
        <c:barDir val="col"/>
        <c:grouping val="clustered"/>
        <c:varyColors val="0"/>
        <c:ser>
          <c:idx val="0"/>
          <c:order val="0"/>
          <c:tx>
            <c:strRef>
              <c:f>'Executive Summary'!$N$1</c:f>
            </c:strRef>
          </c:tx>
          <c:cat>
            <c:strRef>
              <c:f>'Executive Summary'!$A$2:$A$13</c:f>
            </c:strRef>
          </c:cat>
          <c:val>
            <c:numRef>
              <c:f>'Executive Summary'!$N$2:$N$13</c:f>
            </c:numRef>
          </c:val>
        </c:ser>
        <c:gapWidth val="60"/>
        <c:axId val="1008"/>
        <c:axId val="1009"/>
      </c:barChart>
      <c:catAx>
        <c:axId val="1008"/>
        <c:scaling>
          <c:orientation val="minMax"/>
        </c:scaling>
        <c:delete val="0"/>
        <c:axPos val="b"/>
        <c:numFmt formatCode="General" sourceLinked="1"/>
        <c:majorTickMark val="out"/>
        <c:minorTickMark val="none"/>
        <c:tickLblPos val="nextTo"/>
        <c:crossAx val="1009"/>
        <c:crosses val="autoZero"/>
        <c:auto val="1"/>
        <c:lblAlgn val="ctr"/>
        <c:lblOffset val="100"/>
        <c:noMultiLvlLbl val="0"/>
      </c:catAx>
      <c:valAx>
        <c:axId val="1009"/>
        <c:scaling>
          <c:orientation val="minMax"/>
        </c:scaling>
        <c:delete val="0"/>
        <c:axPos val="l"/>
        <c:numFmt formatCode="0.0" sourceLinked="0"/>
        <c:majorTickMark val="out"/>
        <c:minorTickMark val="none"/>
        <c:tickLblPos val="nextTo"/>
        <c:crossAx val="1008"/>
        <c:crosses val="autoZero"/>
        <c:crossBetween val="between"/>
      </c:valAx>
    </c:plotArea>
    <c:legend>
      <c:legendPos val="b"/>
    </c:legend>
    <c:plotVisOnly val="1"/>
    <c:dispBlanksAs val="gap"/>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6286500" cy="3619500"/>
    <xdr:graphicFrame>
      <xdr:nvGraphicFramePr>
        <xdr:cNvPr id="2" name="Chart 1"/>
        <xdr:cNvGraphicFramePr/>
      </xdr:nvGraphicFramePr>
      <xdr:xfrm>
        <a:off x="0" y="0"/>
        <a:ext cx="6286500" cy="361950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25</xdr:row>
      <xdr:rowOff>0</xdr:rowOff>
    </xdr:from>
    <xdr:ext cx="6286500" cy="3619500"/>
    <xdr:graphicFrame>
      <xdr:nvGraphicFramePr>
        <xdr:cNvPr id="3" name="Chart 2"/>
        <xdr:cNvGraphicFramePr/>
      </xdr:nvGraphicFramePr>
      <xdr:xfrm>
        <a:off x="0" y="0"/>
        <a:ext cx="6286500" cy="361950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46</xdr:row>
      <xdr:rowOff>0</xdr:rowOff>
    </xdr:from>
    <xdr:ext cx="6286500" cy="3619500"/>
    <xdr:graphicFrame>
      <xdr:nvGraphicFramePr>
        <xdr:cNvPr id="4" name="Chart 3"/>
        <xdr:cNvGraphicFramePr/>
      </xdr:nvGraphicFramePr>
      <xdr:xfrm>
        <a:off x="0" y="0"/>
        <a:ext cx="6286500" cy="361950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67</xdr:row>
      <xdr:rowOff>0</xdr:rowOff>
    </xdr:from>
    <xdr:ext cx="6286500" cy="3619500"/>
    <xdr:graphicFrame>
      <xdr:nvGraphicFramePr>
        <xdr:cNvPr id="5" name="Chart 4"/>
        <xdr:cNvGraphicFramePr/>
      </xdr:nvGraphicFramePr>
      <xdr:xfrm>
        <a:off x="0" y="0"/>
        <a:ext cx="6286500" cy="361950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88</xdr:row>
      <xdr:rowOff>0</xdr:rowOff>
    </xdr:from>
    <xdr:ext cx="6286500" cy="3619500"/>
    <xdr:graphicFrame>
      <xdr:nvGraphicFramePr>
        <xdr:cNvPr id="6" name="Chart 5"/>
        <xdr:cNvGraphicFramePr/>
      </xdr:nvGraphicFramePr>
      <xdr:xfrm>
        <a:off x="0" y="0"/>
        <a:ext cx="6286500" cy="361950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S13"/>
  <sheetViews>
    <sheetView workbookViewId="0">
      <pane ySplit="1" topLeftCell="A2" activePane="bottomLeft" state="frozen"/>
    </sheetView>
  </sheetViews>
  <sheetFormatPr defaultRowHeight="15"/>
  <cols>
    <col min="1" max="1" width="16" customWidth="1"/>
    <col min="2" max="2" width="20" customWidth="1"/>
    <col min="3" max="3" width="15" customWidth="1"/>
    <col min="4" max="4" width="15" customWidth="1"/>
    <col min="5" max="5" width="52" customWidth="1"/>
    <col min="6" max="6" width="19" customWidth="1"/>
    <col min="7" max="7" width="31" customWidth="1"/>
    <col min="8" max="8" width="23" customWidth="1"/>
    <col min="9" max="9" width="21" customWidth="1"/>
    <col min="10" max="10" width="27" customWidth="1"/>
    <col min="11" max="11" width="26" customWidth="1"/>
    <col min="12" max="12" width="28" customWidth="1"/>
    <col min="13" max="13" width="22" customWidth="1"/>
    <col min="14" max="14" width="20" customWidth="1"/>
    <col min="15" max="15" width="20" customWidth="1"/>
    <col min="16" max="16" width="16" customWidth="1"/>
    <col min="17" max="17" width="20" customWidth="1"/>
    <col min="18" max="18" width="25" customWidth="1"/>
    <col min="19" max="19" width="52" customWidth="1"/>
  </cols>
  <sheetData>
    <row r="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row>
    <row r="2">
      <c r="A2" t="s">
        <v>19</v>
      </c>
      <c r="B2" t="s">
        <v>20</v>
      </c>
      <c r="C2" t="s">
        <v>21</v>
      </c>
      <c r="D2" t="s">
        <v>22</v>
      </c>
      <c r="E2" t="s">
        <v>23</v>
      </c>
      <c r="F2" s="3">
        <v>1900000</v>
      </c>
      <c r="G2" s="3">
        <v>665000</v>
      </c>
      <c r="H2" s="3">
        <v>204000</v>
      </c>
      <c r="I2" s="3">
        <v>461000</v>
      </c>
      <c r="J2" s="4">
        <v>0.3067669172932331</v>
      </c>
      <c r="K2" s="4">
        <v>0.23097744360902256</v>
      </c>
      <c r="L2" s="4">
        <v>0.7573684210526316</v>
      </c>
      <c r="M2" s="5">
        <v>2.2598039215686274</v>
      </c>
      <c r="N2" s="6">
        <v>8.459869848156183</v>
      </c>
      <c r="O2" s="7">
        <v>4.294117647058823</v>
      </c>
      <c r="P2" s="8">
        <v>2</v>
      </c>
      <c r="Q2" s="8">
        <v>1</v>
      </c>
      <c r="R2" t="s">
        <v>24</v>
      </c>
      <c r="S2" t="s">
        <v>25</v>
      </c>
    </row>
    <row r="3">
      <c r="A3" t="s">
        <v>26</v>
      </c>
      <c r="B3" t="s">
        <v>27</v>
      </c>
      <c r="C3" t="s">
        <v>28</v>
      </c>
      <c r="D3" t="s">
        <v>29</v>
      </c>
      <c r="E3" t="s">
        <v>30</v>
      </c>
      <c r="F3" s="3">
        <v>4800000</v>
      </c>
      <c r="G3" s="3">
        <v>1680000</v>
      </c>
      <c r="H3" s="3">
        <v>976000</v>
      </c>
      <c r="I3" s="3">
        <v>704000</v>
      </c>
      <c r="J3" s="4">
        <v>0.580952380952381</v>
      </c>
      <c r="K3" s="4">
        <v>0.5214285714285715</v>
      </c>
      <c r="L3" s="4">
        <v>0.8533333333333334</v>
      </c>
      <c r="M3" s="5">
        <v>0.7213114754098361</v>
      </c>
      <c r="N3" s="6">
        <v>19.602272727272727</v>
      </c>
      <c r="O3" s="7">
        <v>4.38</v>
      </c>
      <c r="P3" s="8">
        <v>13</v>
      </c>
      <c r="Q3" s="8">
        <v>3</v>
      </c>
      <c r="R3" t="s">
        <v>24</v>
      </c>
      <c r="S3" t="s">
        <v>31</v>
      </c>
    </row>
    <row r="4">
      <c r="A4" t="s">
        <v>32</v>
      </c>
      <c r="B4" t="s">
        <v>33</v>
      </c>
      <c r="C4" t="s">
        <v>28</v>
      </c>
      <c r="D4" t="s">
        <v>34</v>
      </c>
      <c r="E4" t="s">
        <v>35</v>
      </c>
      <c r="F4" s="3">
        <v>20300000</v>
      </c>
      <c r="G4" s="3">
        <v>7105000</v>
      </c>
      <c r="H4" s="3">
        <v>4112000</v>
      </c>
      <c r="I4" s="3">
        <v>2993000</v>
      </c>
      <c r="J4" s="4">
        <v>0.5787473610133709</v>
      </c>
      <c r="K4" s="4">
        <v>0.5265775275627492</v>
      </c>
      <c r="L4" s="4">
        <v>0.8525615763546798</v>
      </c>
      <c r="M4" s="5">
        <v>0.7278696498054474</v>
      </c>
      <c r="N4" s="6">
        <v>17.540928833945873</v>
      </c>
      <c r="O4" s="7">
        <v>3.504</v>
      </c>
      <c r="P4" s="8">
        <v>56</v>
      </c>
      <c r="Q4" s="8">
        <v>12</v>
      </c>
      <c r="R4" t="s">
        <v>24</v>
      </c>
      <c r="S4" t="s">
        <v>31</v>
      </c>
    </row>
    <row r="5">
      <c r="A5" t="s">
        <v>36</v>
      </c>
      <c r="B5" t="s">
        <v>37</v>
      </c>
      <c r="C5" t="s">
        <v>28</v>
      </c>
      <c r="D5" t="s">
        <v>29</v>
      </c>
      <c r="E5" t="s">
        <v>38</v>
      </c>
      <c r="F5" s="3">
        <v>6136000</v>
      </c>
      <c r="G5" s="3">
        <v>2147600</v>
      </c>
      <c r="H5" s="3">
        <v>1284000</v>
      </c>
      <c r="I5" s="3">
        <v>863600</v>
      </c>
      <c r="J5" s="4">
        <v>0.5978766995716148</v>
      </c>
      <c r="K5" s="4">
        <v>0.5367576554017233</v>
      </c>
      <c r="L5" s="4">
        <v>0.8592568448500651</v>
      </c>
      <c r="M5" s="5">
        <v>0.6725856697819315</v>
      </c>
      <c r="N5" s="6">
        <v>20.14821676702177</v>
      </c>
      <c r="O5" s="7">
        <v>4.38</v>
      </c>
      <c r="P5" s="8">
        <v>17</v>
      </c>
      <c r="Q5" s="8">
        <v>4</v>
      </c>
      <c r="R5" t="s">
        <v>24</v>
      </c>
      <c r="S5" t="s">
        <v>31</v>
      </c>
    </row>
    <row r="6">
      <c r="A6" t="s">
        <v>39</v>
      </c>
      <c r="B6" t="s">
        <v>40</v>
      </c>
      <c r="C6" t="s">
        <v>28</v>
      </c>
      <c r="D6" t="s">
        <v>41</v>
      </c>
      <c r="E6" t="s">
        <v>42</v>
      </c>
      <c r="F6" s="3">
        <v>9250000</v>
      </c>
      <c r="G6" s="3">
        <v>3237500</v>
      </c>
      <c r="H6" s="3">
        <v>2672000</v>
      </c>
      <c r="I6" s="3">
        <v>565500</v>
      </c>
      <c r="J6" s="4">
        <v>0.8253281853281853</v>
      </c>
      <c r="K6" s="4">
        <v>0.7482836821784191</v>
      </c>
      <c r="L6" s="4">
        <v>0.9388648648648649</v>
      </c>
      <c r="M6" s="5">
        <v>0.21163922155688622</v>
      </c>
      <c r="N6" s="6">
        <v>61.0079575596817</v>
      </c>
      <c r="O6" s="7">
        <v>3.65</v>
      </c>
      <c r="P6" s="8">
        <v>36</v>
      </c>
      <c r="Q6" s="8">
        <v>8</v>
      </c>
      <c r="R6" t="s">
        <v>24</v>
      </c>
      <c r="S6" t="s">
        <v>43</v>
      </c>
    </row>
    <row r="7">
      <c r="A7" t="s">
        <v>44</v>
      </c>
      <c r="B7" t="s">
        <v>45</v>
      </c>
      <c r="C7" t="s">
        <v>46</v>
      </c>
      <c r="D7" t="s">
        <v>29</v>
      </c>
      <c r="E7" t="s">
        <v>47</v>
      </c>
      <c r="F7" s="3">
        <v>2530000</v>
      </c>
      <c r="G7" s="3">
        <v>885500</v>
      </c>
      <c r="H7" s="3">
        <v>564000</v>
      </c>
      <c r="I7" s="3">
        <v>321500</v>
      </c>
      <c r="J7" s="4">
        <v>0.6369282891022021</v>
      </c>
      <c r="K7" s="4">
        <v>0.5276115189158668</v>
      </c>
      <c r="L7" s="4">
        <v>0.8729249011857707</v>
      </c>
      <c r="M7" s="5">
        <v>0.5700354609929078</v>
      </c>
      <c r="N7" s="6">
        <v>26.127527216174183</v>
      </c>
      <c r="O7" s="7">
        <v>4.469387755102041</v>
      </c>
      <c r="P7" s="8">
        <v>7</v>
      </c>
      <c r="Q7" s="8">
        <v>2</v>
      </c>
      <c r="R7" t="s">
        <v>48</v>
      </c>
      <c r="S7" t="s">
        <v>43</v>
      </c>
    </row>
    <row r="8">
      <c r="A8" t="s">
        <v>49</v>
      </c>
      <c r="B8" t="s">
        <v>50</v>
      </c>
      <c r="C8" t="s">
        <v>51</v>
      </c>
      <c r="D8" t="s">
        <v>29</v>
      </c>
      <c r="E8" t="s">
        <v>52</v>
      </c>
      <c r="F8" s="3">
        <v>1792000</v>
      </c>
      <c r="G8" s="3">
        <v>627200</v>
      </c>
      <c r="H8" s="3">
        <v>512000</v>
      </c>
      <c r="I8" s="3">
        <v>115200</v>
      </c>
      <c r="J8" s="4">
        <v>0.8163265306122449</v>
      </c>
      <c r="K8" s="4">
        <v>0.6415066026410565</v>
      </c>
      <c r="L8" s="4">
        <v>0.9357142857142857</v>
      </c>
      <c r="M8" s="5">
        <v>0.225</v>
      </c>
      <c r="N8" s="6">
        <v>65.10416666666667</v>
      </c>
      <c r="O8" s="7">
        <v>4.38</v>
      </c>
      <c r="P8" s="8">
        <v>6</v>
      </c>
      <c r="Q8" s="8">
        <v>2</v>
      </c>
      <c r="R8" t="s">
        <v>24</v>
      </c>
      <c r="S8" t="s">
        <v>43</v>
      </c>
    </row>
    <row r="9">
      <c r="A9" t="s">
        <v>53</v>
      </c>
      <c r="B9" t="s">
        <v>54</v>
      </c>
      <c r="C9" t="s">
        <v>28</v>
      </c>
      <c r="D9" t="s">
        <v>55</v>
      </c>
      <c r="E9" t="s">
        <v>56</v>
      </c>
      <c r="F9" s="3"/>
      <c r="G9" s="3"/>
      <c r="H9" s="3"/>
      <c r="I9" s="3"/>
      <c r="J9" s="4"/>
      <c r="K9" s="4"/>
      <c r="L9" s="4"/>
      <c r="M9" s="5"/>
      <c r="N9" s="6"/>
      <c r="O9" s="7"/>
      <c r="P9" s="8"/>
      <c r="Q9" s="8"/>
      <c r="R9" t="s">
        <v>57</v>
      </c>
    </row>
    <row r="10">
      <c r="A10" t="s">
        <v>58</v>
      </c>
      <c r="B10" t="s">
        <v>59</v>
      </c>
      <c r="C10" t="s">
        <v>60</v>
      </c>
      <c r="D10" t="s">
        <v>61</v>
      </c>
      <c r="E10" t="s">
        <v>62</v>
      </c>
      <c r="F10" s="3">
        <v>7770000</v>
      </c>
      <c r="G10" s="3">
        <v>2719500</v>
      </c>
      <c r="H10" s="3">
        <v>3724000</v>
      </c>
      <c r="I10" s="3">
        <v>-1004500</v>
      </c>
      <c r="J10" s="4">
        <v>1.3693693693693694</v>
      </c>
      <c r="K10" s="4">
        <v>1.2672497570456753</v>
      </c>
      <c r="L10" s="4">
        <v>1.1292792792792792</v>
      </c>
      <c r="M10" s="5">
        <v>-0.26973684210526316</v>
      </c>
      <c r="N10" s="6"/>
      <c r="O10" s="7">
        <v>2.8076923076923075</v>
      </c>
      <c r="P10" s="8">
        <v>53</v>
      </c>
      <c r="Q10" s="8">
        <v>11</v>
      </c>
      <c r="R10" t="s">
        <v>24</v>
      </c>
      <c r="S10" t="s">
        <v>63</v>
      </c>
    </row>
    <row r="11">
      <c r="A11" t="s">
        <v>64</v>
      </c>
      <c r="B11" t="s">
        <v>65</v>
      </c>
      <c r="C11" t="s">
        <v>66</v>
      </c>
      <c r="D11" t="s">
        <v>61</v>
      </c>
      <c r="E11" t="s">
        <v>67</v>
      </c>
      <c r="F11" s="3">
        <v>2108000</v>
      </c>
      <c r="G11" s="3">
        <v>737800</v>
      </c>
      <c r="H11" s="3">
        <v>846000</v>
      </c>
      <c r="I11" s="3">
        <v>-108200</v>
      </c>
      <c r="J11" s="4">
        <v>1.1466522092708051</v>
      </c>
      <c r="K11" s="4">
        <v>1.0111141230685823</v>
      </c>
      <c r="L11" s="4">
        <v>1.0513282732447817</v>
      </c>
      <c r="M11" s="5">
        <v>-0.12789598108747044</v>
      </c>
      <c r="N11" s="6"/>
      <c r="O11" s="7">
        <v>4.211538461538462</v>
      </c>
      <c r="P11" s="8">
        <v>12</v>
      </c>
      <c r="Q11" s="8">
        <v>3</v>
      </c>
      <c r="R11" t="s">
        <v>24</v>
      </c>
      <c r="S11" t="s">
        <v>63</v>
      </c>
    </row>
    <row r="12">
      <c r="A12" t="s">
        <v>68</v>
      </c>
      <c r="B12" t="s">
        <v>69</v>
      </c>
      <c r="C12" t="s">
        <v>70</v>
      </c>
      <c r="D12" t="s">
        <v>61</v>
      </c>
      <c r="E12" t="s">
        <v>71</v>
      </c>
      <c r="F12" s="3">
        <v>4148000</v>
      </c>
      <c r="G12" s="3">
        <v>1451800</v>
      </c>
      <c r="H12" s="3">
        <v>1894000</v>
      </c>
      <c r="I12" s="3">
        <v>-442200</v>
      </c>
      <c r="J12" s="4">
        <v>1.3045874087339855</v>
      </c>
      <c r="K12" s="4">
        <v>1.196019391363103</v>
      </c>
      <c r="L12" s="4">
        <v>1.106605593056895</v>
      </c>
      <c r="M12" s="5">
        <v>-0.23347412882787752</v>
      </c>
      <c r="N12" s="6"/>
      <c r="O12" s="7">
        <v>3.504</v>
      </c>
      <c r="P12" s="8">
        <v>28</v>
      </c>
      <c r="Q12" s="8">
        <v>6</v>
      </c>
      <c r="R12" t="s">
        <v>24</v>
      </c>
      <c r="S12" t="s">
        <v>63</v>
      </c>
    </row>
    <row r="13">
      <c r="A13" t="s">
        <v>72</v>
      </c>
      <c r="B13" t="s">
        <v>73</v>
      </c>
      <c r="C13" t="s">
        <v>70</v>
      </c>
      <c r="D13" t="s">
        <v>61</v>
      </c>
      <c r="E13" t="s">
        <v>74</v>
      </c>
      <c r="F13" s="3">
        <v>2668000</v>
      </c>
      <c r="G13" s="3">
        <v>933799.9999999999</v>
      </c>
      <c r="H13" s="3">
        <v>816000</v>
      </c>
      <c r="I13" s="3">
        <v>117799.99999999988</v>
      </c>
      <c r="J13" s="4">
        <v>0.873848789890769</v>
      </c>
      <c r="K13" s="4">
        <v>0.8810979125821705</v>
      </c>
      <c r="L13" s="4">
        <v>0.9558470764617691</v>
      </c>
      <c r="M13" s="5">
        <v>0.14436274509803906</v>
      </c>
      <c r="N13" s="6">
        <v>117.1477079796266</v>
      </c>
      <c r="O13" s="7">
        <v>4.294117647058823</v>
      </c>
      <c r="P13" s="8">
        <v>13</v>
      </c>
      <c r="Q13" s="8">
        <v>2</v>
      </c>
      <c r="R13" t="s">
        <v>24</v>
      </c>
      <c r="S13" t="s">
        <v>43</v>
      </c>
    </row>
  </sheetData>
  <conditionalFormatting sqref="J2:J13">
    <cfRule type="colorScale" priority="1">
      <colorScale>
        <cfvo type="min"/>
        <cfvo type="max"/>
        <color rgb="FFE4EFE8"/>
        <color rgb="FFFBEEDF"/>
      </colorScale>
    </cfRule>
  </conditionalFormatting>
  <conditionalFormatting sqref="N2:N13">
    <cfRule type="colorScale" priority="2">
      <colorScale>
        <cfvo type="min"/>
        <cfvo type="max"/>
        <color rgb="FFE4EFE8"/>
        <color rgb="FFFBEEDF"/>
      </colorScale>
    </cfRule>
  </conditionalFormatting>
</worksheet>
</file>

<file path=xl/worksheets/sheet2.xml><?xml version="1.0" encoding="utf-8"?>
<worksheet xmlns="http://schemas.openxmlformats.org/spreadsheetml/2006/main" xmlns:r="http://schemas.openxmlformats.org/officeDocument/2006/relationships">
  <dimension ref="A1:AD26"/>
  <sheetViews>
    <sheetView workbookViewId="0">
      <pane ySplit="1" topLeftCell="A2" activePane="bottomLeft" state="frozen"/>
    </sheetView>
  </sheetViews>
  <sheetFormatPr defaultRowHeight="15"/>
  <cols>
    <col min="1" max="1" width="52" customWidth="1"/>
    <col min="2" max="2" width="20" customWidth="1"/>
    <col min="3" max="3" width="14" customWidth="1"/>
    <col min="4" max="4" width="13" customWidth="1"/>
    <col min="5" max="5" width="20" customWidth="1"/>
    <col min="6" max="6" width="25" customWidth="1"/>
    <col min="7" max="7" width="20" customWidth="1"/>
    <col min="8" max="8" width="20" customWidth="1"/>
    <col min="9" max="9" width="20" customWidth="1"/>
    <col min="10" max="10" width="20" customWidth="1"/>
    <col min="11" max="11" width="31" customWidth="1"/>
    <col min="12" max="12" width="13" customWidth="1"/>
    <col min="13" max="13" width="27" customWidth="1"/>
    <col min="14" max="14" width="19" customWidth="1"/>
    <col min="15" max="15" width="26" customWidth="1"/>
    <col min="16" max="16" width="25" customWidth="1"/>
    <col min="17" max="17" width="29" customWidth="1"/>
    <col min="18" max="18" width="23" customWidth="1"/>
    <col min="19" max="19" width="10" customWidth="1"/>
    <col min="20" max="20" width="27" customWidth="1"/>
    <col min="21" max="21" width="11" customWidth="1"/>
    <col min="22" max="22" width="17" customWidth="1"/>
    <col min="23" max="23" width="20" customWidth="1"/>
    <col min="24" max="24" width="26" customWidth="1"/>
    <col min="25" max="25" width="22" customWidth="1"/>
    <col min="26" max="26" width="28" customWidth="1"/>
    <col min="27" max="27" width="31" customWidth="1"/>
    <col min="28" max="28" width="22" customWidth="1"/>
    <col min="29" max="29" width="20" customWidth="1"/>
    <col min="30" max="30" width="20" customWidth="1"/>
  </cols>
  <sheetData>
    <row r="1">
      <c r="A1" s="2" t="s">
        <v>0</v>
      </c>
      <c r="B1" s="2" t="s">
        <v>1</v>
      </c>
      <c r="C1" s="2" t="s">
        <v>75</v>
      </c>
      <c r="D1" s="2" t="s">
        <v>76</v>
      </c>
      <c r="E1" s="2" t="s">
        <v>77</v>
      </c>
      <c r="F1" s="2" t="s">
        <v>78</v>
      </c>
      <c r="G1" s="2" t="s">
        <v>79</v>
      </c>
      <c r="H1" s="2" t="s">
        <v>80</v>
      </c>
      <c r="I1" s="2" t="s">
        <v>81</v>
      </c>
      <c r="J1" s="2" t="s">
        <v>82</v>
      </c>
      <c r="K1" s="2" t="s">
        <v>83</v>
      </c>
      <c r="L1" s="2" t="s">
        <v>84</v>
      </c>
      <c r="M1" s="2" t="s">
        <v>85</v>
      </c>
      <c r="N1" s="2" t="s">
        <v>86</v>
      </c>
      <c r="O1" s="2" t="s">
        <v>87</v>
      </c>
      <c r="P1" s="2" t="s">
        <v>88</v>
      </c>
      <c r="Q1" s="2" t="s">
        <v>89</v>
      </c>
      <c r="R1" s="2" t="s">
        <v>90</v>
      </c>
      <c r="S1" s="2" t="s">
        <v>91</v>
      </c>
      <c r="T1" s="2" t="s">
        <v>92</v>
      </c>
      <c r="U1" s="2" t="s">
        <v>93</v>
      </c>
      <c r="V1" s="2" t="s">
        <v>94</v>
      </c>
      <c r="W1" s="2" t="s">
        <v>95</v>
      </c>
      <c r="X1" s="2" t="s">
        <v>96</v>
      </c>
      <c r="Y1" s="2" t="s">
        <v>97</v>
      </c>
      <c r="Z1" s="2" t="s">
        <v>98</v>
      </c>
      <c r="AA1" s="2" t="s">
        <v>99</v>
      </c>
      <c r="AB1" s="2" t="s">
        <v>12</v>
      </c>
      <c r="AC1" s="2" t="s">
        <v>100</v>
      </c>
      <c r="AD1" s="2" t="s">
        <v>101</v>
      </c>
    </row>
    <row r="2">
      <c r="A2" t="s">
        <v>19</v>
      </c>
      <c r="B2" t="s">
        <v>20</v>
      </c>
      <c r="C2" t="s">
        <v>102</v>
      </c>
      <c r="D2" s="8">
        <v>180000</v>
      </c>
      <c r="E2" s="9">
        <v>1</v>
      </c>
      <c r="F2" s="9">
        <v>5</v>
      </c>
      <c r="G2" s="9">
        <v>5</v>
      </c>
      <c r="H2" s="9">
        <v>10200</v>
      </c>
      <c r="I2" s="3">
        <v>1900000</v>
      </c>
      <c r="J2" s="10">
        <v>186.27450980392157</v>
      </c>
      <c r="K2" s="8">
        <v>8760</v>
      </c>
      <c r="L2" s="4">
        <v>0.25</v>
      </c>
      <c r="M2" s="8">
        <v>2190</v>
      </c>
      <c r="N2" s="4">
        <v>0.35</v>
      </c>
      <c r="O2" s="8">
        <v>3570</v>
      </c>
      <c r="P2" s="3">
        <v>665000</v>
      </c>
      <c r="Q2" s="3">
        <v>1235000</v>
      </c>
      <c r="R2" s="9">
        <v>1.63013698630137</v>
      </c>
      <c r="S2" s="9">
        <v>2</v>
      </c>
      <c r="T2" s="9">
        <v>0.4</v>
      </c>
      <c r="U2" s="9">
        <v>1</v>
      </c>
      <c r="V2" s="3">
        <v>204000</v>
      </c>
      <c r="W2" s="3">
        <v>461000</v>
      </c>
      <c r="X2" s="4">
        <v>0.3067669172932331</v>
      </c>
      <c r="Y2" s="3">
        <v>1439000</v>
      </c>
      <c r="Z2" s="4">
        <v>0.7573684210526316</v>
      </c>
      <c r="AA2" s="3">
        <v>325000</v>
      </c>
      <c r="AB2" s="4">
        <v>2.2598039215686274</v>
      </c>
      <c r="AC2" s="6">
        <v>8.459869848156183</v>
      </c>
      <c r="AD2" s="7">
        <v>4.294117647058823</v>
      </c>
    </row>
    <row r="3">
      <c r="A3" t="s">
        <v>26</v>
      </c>
      <c r="B3" t="s">
        <v>27</v>
      </c>
      <c r="C3" t="s">
        <v>102</v>
      </c>
      <c r="D3" s="8">
        <v>2400000</v>
      </c>
      <c r="E3" s="9">
        <v>1</v>
      </c>
      <c r="F3" s="9">
        <v>5</v>
      </c>
      <c r="G3" s="9">
        <v>40</v>
      </c>
      <c r="H3" s="9">
        <v>80000</v>
      </c>
      <c r="I3" s="3">
        <v>4800000</v>
      </c>
      <c r="J3" s="10">
        <v>60</v>
      </c>
      <c r="K3" s="8">
        <v>8760</v>
      </c>
      <c r="L3" s="4">
        <v>0.25</v>
      </c>
      <c r="M3" s="8">
        <v>2190</v>
      </c>
      <c r="N3" s="4">
        <v>0.35</v>
      </c>
      <c r="O3" s="8">
        <v>28000</v>
      </c>
      <c r="P3" s="3">
        <v>1680000</v>
      </c>
      <c r="Q3" s="3">
        <v>3120000</v>
      </c>
      <c r="R3" s="9">
        <v>12.785388127853881</v>
      </c>
      <c r="S3" s="9">
        <v>13</v>
      </c>
      <c r="T3" s="9">
        <v>2.6</v>
      </c>
      <c r="U3" s="9">
        <v>3</v>
      </c>
      <c r="V3" s="3">
        <v>976000</v>
      </c>
      <c r="W3" s="3">
        <v>704000</v>
      </c>
      <c r="X3" s="4">
        <v>0.580952380952381</v>
      </c>
      <c r="Y3" s="3">
        <v>4096000</v>
      </c>
      <c r="Z3" s="4">
        <v>0.8533333333333334</v>
      </c>
      <c r="AA3" s="3">
        <v>1150000</v>
      </c>
      <c r="AB3" s="4">
        <v>0.7213114754098361</v>
      </c>
      <c r="AC3" s="6">
        <v>19.602272727272727</v>
      </c>
      <c r="AD3" s="7">
        <v>4.38</v>
      </c>
    </row>
    <row r="4">
      <c r="A4" t="s">
        <v>32</v>
      </c>
      <c r="B4" t="s">
        <v>33</v>
      </c>
      <c r="C4" t="s">
        <v>102</v>
      </c>
      <c r="D4" s="8">
        <v>9200000</v>
      </c>
      <c r="E4" s="9">
        <v>1</v>
      </c>
      <c r="F4" s="9">
        <v>5</v>
      </c>
      <c r="G4" s="9">
        <v>140</v>
      </c>
      <c r="H4" s="9">
        <v>350000</v>
      </c>
      <c r="I4" s="3">
        <v>20300000</v>
      </c>
      <c r="J4" s="10">
        <v>58</v>
      </c>
      <c r="K4" s="8">
        <v>8760</v>
      </c>
      <c r="L4" s="4">
        <v>0.25</v>
      </c>
      <c r="M4" s="8">
        <v>2190</v>
      </c>
      <c r="N4" s="4">
        <v>0.35</v>
      </c>
      <c r="O4" s="8">
        <v>122499.99999999999</v>
      </c>
      <c r="P4" s="3">
        <v>7105000</v>
      </c>
      <c r="Q4" s="3">
        <v>13195000</v>
      </c>
      <c r="R4" s="9">
        <v>55.93607305936072</v>
      </c>
      <c r="S4" s="9">
        <v>56</v>
      </c>
      <c r="T4" s="9">
        <v>11.2</v>
      </c>
      <c r="U4" s="9">
        <v>12</v>
      </c>
      <c r="V4" s="3">
        <v>4112000</v>
      </c>
      <c r="W4" s="3">
        <v>2993000</v>
      </c>
      <c r="X4" s="4">
        <v>0.5787473610133709</v>
      </c>
      <c r="Y4" s="3">
        <v>17307000</v>
      </c>
      <c r="Z4" s="4">
        <v>0.8525615763546798</v>
      </c>
      <c r="AA4" s="3">
        <v>4375000</v>
      </c>
      <c r="AB4" s="4">
        <v>0.7278696498054474</v>
      </c>
      <c r="AC4" s="6">
        <v>17.540928833945873</v>
      </c>
      <c r="AD4" s="7">
        <v>3.504</v>
      </c>
    </row>
    <row r="5">
      <c r="A5" t="s">
        <v>36</v>
      </c>
      <c r="B5" t="s">
        <v>37</v>
      </c>
      <c r="C5" t="s">
        <v>102</v>
      </c>
      <c r="D5" s="8">
        <v>3100000</v>
      </c>
      <c r="E5" s="9">
        <v>1</v>
      </c>
      <c r="F5" s="9">
        <v>5</v>
      </c>
      <c r="G5" s="9">
        <v>52</v>
      </c>
      <c r="H5" s="9">
        <v>104000</v>
      </c>
      <c r="I5" s="3">
        <v>6136000</v>
      </c>
      <c r="J5" s="10">
        <v>59</v>
      </c>
      <c r="K5" s="8">
        <v>8760</v>
      </c>
      <c r="L5" s="4">
        <v>0.25</v>
      </c>
      <c r="M5" s="8">
        <v>2190</v>
      </c>
      <c r="N5" s="4">
        <v>0.35</v>
      </c>
      <c r="O5" s="8">
        <v>36400</v>
      </c>
      <c r="P5" s="3">
        <v>2147600</v>
      </c>
      <c r="Q5" s="3">
        <v>3988400</v>
      </c>
      <c r="R5" s="9">
        <v>16.621004566210047</v>
      </c>
      <c r="S5" s="9">
        <v>17</v>
      </c>
      <c r="T5" s="9">
        <v>3.4</v>
      </c>
      <c r="U5" s="9">
        <v>4</v>
      </c>
      <c r="V5" s="3">
        <v>1284000</v>
      </c>
      <c r="W5" s="3">
        <v>863600</v>
      </c>
      <c r="X5" s="4">
        <v>0.5978766995716148</v>
      </c>
      <c r="Y5" s="3">
        <v>5272400</v>
      </c>
      <c r="Z5" s="4">
        <v>0.8592568448500651</v>
      </c>
      <c r="AA5" s="3">
        <v>1450000</v>
      </c>
      <c r="AB5" s="4">
        <v>0.6725856697819315</v>
      </c>
      <c r="AC5" s="6">
        <v>20.14821676702177</v>
      </c>
      <c r="AD5" s="7">
        <v>4.38</v>
      </c>
    </row>
    <row r="6">
      <c r="A6" t="s">
        <v>39</v>
      </c>
      <c r="B6" t="s">
        <v>40</v>
      </c>
      <c r="C6" t="s">
        <v>102</v>
      </c>
      <c r="D6" s="8">
        <v>5800000</v>
      </c>
      <c r="E6" s="9">
        <v>1</v>
      </c>
      <c r="F6" s="9">
        <v>5</v>
      </c>
      <c r="G6" s="9">
        <v>74</v>
      </c>
      <c r="H6" s="9">
        <v>177600</v>
      </c>
      <c r="I6" s="3">
        <v>9250000</v>
      </c>
      <c r="J6" s="10">
        <v>52.083333333333336</v>
      </c>
      <c r="K6" s="8">
        <v>8760</v>
      </c>
      <c r="L6" s="4">
        <v>0.2</v>
      </c>
      <c r="M6" s="8">
        <v>1752</v>
      </c>
      <c r="N6" s="4">
        <v>0.35</v>
      </c>
      <c r="O6" s="8">
        <v>62159.99999999999</v>
      </c>
      <c r="P6" s="3">
        <v>3237500</v>
      </c>
      <c r="Q6" s="3">
        <v>6012500</v>
      </c>
      <c r="R6" s="9">
        <v>35.479452054794514</v>
      </c>
      <c r="S6" s="9">
        <v>36</v>
      </c>
      <c r="T6" s="9">
        <v>7.2</v>
      </c>
      <c r="U6" s="9">
        <v>8</v>
      </c>
      <c r="V6" s="3">
        <v>2672000</v>
      </c>
      <c r="W6" s="3">
        <v>565500</v>
      </c>
      <c r="X6" s="4">
        <v>0.8253281853281853</v>
      </c>
      <c r="Y6" s="3">
        <v>8684500</v>
      </c>
      <c r="Z6" s="4">
        <v>0.9388648648648649</v>
      </c>
      <c r="AA6" s="3">
        <v>2875000</v>
      </c>
      <c r="AB6" s="4">
        <v>0.21163922155688622</v>
      </c>
      <c r="AC6" s="6">
        <v>61.0079575596817</v>
      </c>
      <c r="AD6" s="7">
        <v>3.65</v>
      </c>
    </row>
    <row r="7">
      <c r="A7" t="s">
        <v>44</v>
      </c>
      <c r="B7" t="s">
        <v>45</v>
      </c>
      <c r="C7" t="s">
        <v>102</v>
      </c>
      <c r="D7" s="8">
        <v>1600000</v>
      </c>
      <c r="E7" s="9">
        <v>1</v>
      </c>
      <c r="F7" s="9">
        <v>5</v>
      </c>
      <c r="G7" s="9">
        <v>22</v>
      </c>
      <c r="H7" s="9">
        <v>43120</v>
      </c>
      <c r="I7" s="3">
        <v>2530000</v>
      </c>
      <c r="J7" s="10">
        <v>58.673469387755105</v>
      </c>
      <c r="K7" s="8">
        <v>8760</v>
      </c>
      <c r="L7" s="4">
        <v>0.25</v>
      </c>
      <c r="M7" s="8">
        <v>2190</v>
      </c>
      <c r="N7" s="4">
        <v>0.35</v>
      </c>
      <c r="O7" s="8">
        <v>15091.999999999998</v>
      </c>
      <c r="P7" s="3">
        <v>885500</v>
      </c>
      <c r="Q7" s="3">
        <v>1644500</v>
      </c>
      <c r="R7" s="9">
        <v>6.891324200913242</v>
      </c>
      <c r="S7" s="9">
        <v>7</v>
      </c>
      <c r="T7" s="9">
        <v>1.4</v>
      </c>
      <c r="U7" s="9">
        <v>2</v>
      </c>
      <c r="V7" s="3">
        <v>564000</v>
      </c>
      <c r="W7" s="3">
        <v>321500</v>
      </c>
      <c r="X7" s="4">
        <v>0.6369282891022021</v>
      </c>
      <c r="Y7" s="3">
        <v>2208500</v>
      </c>
      <c r="Z7" s="4">
        <v>0.8729249011857707</v>
      </c>
      <c r="AA7" s="3">
        <v>700000</v>
      </c>
      <c r="AB7" s="4">
        <v>0.5700354609929078</v>
      </c>
      <c r="AC7" s="6">
        <v>26.127527216174183</v>
      </c>
      <c r="AD7" s="7">
        <v>4.469387755102041</v>
      </c>
    </row>
    <row r="8">
      <c r="A8" t="s">
        <v>49</v>
      </c>
      <c r="B8" t="s">
        <v>50</v>
      </c>
      <c r="C8" t="s">
        <v>102</v>
      </c>
      <c r="D8" s="8">
        <v>950000</v>
      </c>
      <c r="E8" s="9">
        <v>1</v>
      </c>
      <c r="F8" s="9">
        <v>5</v>
      </c>
      <c r="G8" s="9">
        <v>16</v>
      </c>
      <c r="H8" s="9">
        <v>32000</v>
      </c>
      <c r="I8" s="3">
        <v>1792000</v>
      </c>
      <c r="J8" s="10">
        <v>56</v>
      </c>
      <c r="K8" s="8">
        <v>8760</v>
      </c>
      <c r="L8" s="4">
        <v>0.25</v>
      </c>
      <c r="M8" s="8">
        <v>2190</v>
      </c>
      <c r="N8" s="4">
        <v>0.35</v>
      </c>
      <c r="O8" s="8">
        <v>11200</v>
      </c>
      <c r="P8" s="3">
        <v>627200</v>
      </c>
      <c r="Q8" s="3">
        <v>1164800</v>
      </c>
      <c r="R8" s="9">
        <v>5.114155251141552</v>
      </c>
      <c r="S8" s="9">
        <v>6</v>
      </c>
      <c r="T8" s="9">
        <v>1.2</v>
      </c>
      <c r="U8" s="9">
        <v>2</v>
      </c>
      <c r="V8" s="3">
        <v>512000</v>
      </c>
      <c r="W8" s="3">
        <v>115200</v>
      </c>
      <c r="X8" s="4">
        <v>0.8163265306122449</v>
      </c>
      <c r="Y8" s="3">
        <v>1676800</v>
      </c>
      <c r="Z8" s="4">
        <v>0.9357142857142857</v>
      </c>
      <c r="AA8" s="3">
        <v>625000</v>
      </c>
      <c r="AB8" s="4">
        <v>0.225</v>
      </c>
      <c r="AC8" s="6">
        <v>65.10416666666667</v>
      </c>
      <c r="AD8" s="7">
        <v>4.38</v>
      </c>
    </row>
    <row r="9">
      <c r="A9" t="s">
        <v>53</v>
      </c>
      <c r="B9" t="s">
        <v>54</v>
      </c>
      <c r="C9" t="s">
        <v>103</v>
      </c>
      <c r="D9" s="8"/>
      <c r="E9" s="9"/>
      <c r="F9" s="9"/>
      <c r="G9" s="9"/>
      <c r="H9" s="9"/>
      <c r="I9" s="3"/>
      <c r="J9" s="10"/>
      <c r="K9" s="8"/>
      <c r="L9" s="4"/>
      <c r="M9" s="8"/>
      <c r="N9" s="4"/>
      <c r="O9" s="8"/>
      <c r="P9" s="3"/>
      <c r="Q9" s="3"/>
      <c r="R9" s="9"/>
      <c r="S9" s="9"/>
      <c r="T9" s="9"/>
      <c r="U9" s="9"/>
      <c r="V9" s="3"/>
      <c r="W9" s="3"/>
      <c r="X9" s="4"/>
      <c r="Y9" s="3"/>
      <c r="Z9" s="4"/>
      <c r="AA9" s="3"/>
      <c r="AB9" s="4"/>
      <c r="AC9" s="6"/>
      <c r="AD9" s="7"/>
    </row>
    <row r="10">
      <c r="A10" t="s">
        <v>58</v>
      </c>
      <c r="B10" t="s">
        <v>59</v>
      </c>
      <c r="C10" t="s">
        <v>102</v>
      </c>
      <c r="D10" s="8">
        <v>7400000</v>
      </c>
      <c r="E10" s="9">
        <v>1</v>
      </c>
      <c r="F10" s="9">
        <v>5</v>
      </c>
      <c r="G10" s="9">
        <v>105</v>
      </c>
      <c r="H10" s="9">
        <v>327600</v>
      </c>
      <c r="I10" s="3">
        <v>7770000</v>
      </c>
      <c r="J10" s="10">
        <v>23.71794871794872</v>
      </c>
      <c r="K10" s="8">
        <v>8760</v>
      </c>
      <c r="L10" s="4">
        <v>0.25</v>
      </c>
      <c r="M10" s="8">
        <v>2190</v>
      </c>
      <c r="N10" s="4">
        <v>0.35</v>
      </c>
      <c r="O10" s="8">
        <v>114660</v>
      </c>
      <c r="P10" s="3">
        <v>2719500</v>
      </c>
      <c r="Q10" s="3">
        <v>5050500</v>
      </c>
      <c r="R10" s="9">
        <v>52.35616438356164</v>
      </c>
      <c r="S10" s="9">
        <v>53</v>
      </c>
      <c r="T10" s="9">
        <v>10.6</v>
      </c>
      <c r="U10" s="9">
        <v>11</v>
      </c>
      <c r="V10" s="3">
        <v>3724000</v>
      </c>
      <c r="W10" s="3">
        <v>-1004500</v>
      </c>
      <c r="X10" s="4">
        <v>1.3693693693693694</v>
      </c>
      <c r="Y10" s="3">
        <v>8774500</v>
      </c>
      <c r="Z10" s="4">
        <v>1.1292792792792792</v>
      </c>
      <c r="AA10" s="3">
        <v>4150000</v>
      </c>
      <c r="AB10" s="4">
        <v>-0.26973684210526316</v>
      </c>
      <c r="AC10" s="6"/>
      <c r="AD10" s="7">
        <v>2.8076923076923075</v>
      </c>
    </row>
    <row r="11">
      <c r="A11" t="s">
        <v>64</v>
      </c>
      <c r="B11" t="s">
        <v>65</v>
      </c>
      <c r="C11" t="s">
        <v>102</v>
      </c>
      <c r="D11" s="8">
        <v>2050000</v>
      </c>
      <c r="E11" s="9">
        <v>1</v>
      </c>
      <c r="F11" s="9">
        <v>5</v>
      </c>
      <c r="G11" s="9">
        <v>34</v>
      </c>
      <c r="H11" s="9">
        <v>70720</v>
      </c>
      <c r="I11" s="3">
        <v>2108000</v>
      </c>
      <c r="J11" s="10">
        <v>29.807692307692307</v>
      </c>
      <c r="K11" s="8">
        <v>8760</v>
      </c>
      <c r="L11" s="4">
        <v>0.25</v>
      </c>
      <c r="M11" s="8">
        <v>2190</v>
      </c>
      <c r="N11" s="4">
        <v>0.35</v>
      </c>
      <c r="O11" s="8">
        <v>24752</v>
      </c>
      <c r="P11" s="3">
        <v>737800</v>
      </c>
      <c r="Q11" s="3">
        <v>1370200</v>
      </c>
      <c r="R11" s="9">
        <v>11.30228310502283</v>
      </c>
      <c r="S11" s="9">
        <v>12</v>
      </c>
      <c r="T11" s="9">
        <v>2.4</v>
      </c>
      <c r="U11" s="9">
        <v>3</v>
      </c>
      <c r="V11" s="3">
        <v>846000</v>
      </c>
      <c r="W11" s="3">
        <v>-108200</v>
      </c>
      <c r="X11" s="4">
        <v>1.1466522092708051</v>
      </c>
      <c r="Y11" s="3">
        <v>2216200</v>
      </c>
      <c r="Z11" s="4">
        <v>1.0513282732447817</v>
      </c>
      <c r="AA11" s="3">
        <v>1075000</v>
      </c>
      <c r="AB11" s="4">
        <v>-0.12789598108747044</v>
      </c>
      <c r="AC11" s="6"/>
      <c r="AD11" s="7">
        <v>4.211538461538462</v>
      </c>
    </row>
    <row r="12">
      <c r="A12" t="s">
        <v>68</v>
      </c>
      <c r="B12" t="s">
        <v>69</v>
      </c>
      <c r="C12" t="s">
        <v>102</v>
      </c>
      <c r="D12" s="8">
        <v>4300000</v>
      </c>
      <c r="E12" s="9">
        <v>1</v>
      </c>
      <c r="F12" s="9">
        <v>5</v>
      </c>
      <c r="G12" s="9">
        <v>68</v>
      </c>
      <c r="H12" s="9">
        <v>170000</v>
      </c>
      <c r="I12" s="3">
        <v>4148000</v>
      </c>
      <c r="J12" s="10">
        <v>24.4</v>
      </c>
      <c r="K12" s="8">
        <v>8760</v>
      </c>
      <c r="L12" s="4">
        <v>0.25</v>
      </c>
      <c r="M12" s="8">
        <v>2190</v>
      </c>
      <c r="N12" s="4">
        <v>0.35</v>
      </c>
      <c r="O12" s="8">
        <v>59499.99999999999</v>
      </c>
      <c r="P12" s="3">
        <v>1451800</v>
      </c>
      <c r="Q12" s="3">
        <v>2696200</v>
      </c>
      <c r="R12" s="9">
        <v>27.168949771689494</v>
      </c>
      <c r="S12" s="9">
        <v>28</v>
      </c>
      <c r="T12" s="9">
        <v>5.6</v>
      </c>
      <c r="U12" s="9">
        <v>6</v>
      </c>
      <c r="V12" s="3">
        <v>1894000</v>
      </c>
      <c r="W12" s="3">
        <v>-442200</v>
      </c>
      <c r="X12" s="4">
        <v>1.3045874087339855</v>
      </c>
      <c r="Y12" s="3">
        <v>4590200</v>
      </c>
      <c r="Z12" s="4">
        <v>1.106605593056895</v>
      </c>
      <c r="AA12" s="3">
        <v>2275000</v>
      </c>
      <c r="AB12" s="4">
        <v>-0.23347412882787752</v>
      </c>
      <c r="AC12" s="6"/>
      <c r="AD12" s="7">
        <v>3.504</v>
      </c>
    </row>
    <row r="13">
      <c r="A13" t="s">
        <v>72</v>
      </c>
      <c r="B13" t="s">
        <v>73</v>
      </c>
      <c r="C13" t="s">
        <v>102</v>
      </c>
      <c r="D13" s="8">
        <v>2800000</v>
      </c>
      <c r="E13" s="9">
        <v>1</v>
      </c>
      <c r="F13" s="9">
        <v>6.5</v>
      </c>
      <c r="G13" s="9">
        <v>46</v>
      </c>
      <c r="H13" s="9">
        <v>93840</v>
      </c>
      <c r="I13" s="3">
        <v>2668000</v>
      </c>
      <c r="J13" s="10">
        <v>28.431372549019606</v>
      </c>
      <c r="K13" s="8">
        <v>8760</v>
      </c>
      <c r="L13" s="4">
        <v>0.25</v>
      </c>
      <c r="M13" s="8">
        <v>2628</v>
      </c>
      <c r="N13" s="4">
        <v>0.35</v>
      </c>
      <c r="O13" s="8">
        <v>32844</v>
      </c>
      <c r="P13" s="3">
        <v>933799.9999999999</v>
      </c>
      <c r="Q13" s="3">
        <v>1734200</v>
      </c>
      <c r="R13" s="9">
        <v>12.497716894977168</v>
      </c>
      <c r="S13" s="9">
        <v>13</v>
      </c>
      <c r="T13" s="9">
        <v>2</v>
      </c>
      <c r="U13" s="9">
        <v>2</v>
      </c>
      <c r="V13" s="3">
        <v>816000</v>
      </c>
      <c r="W13" s="3">
        <v>117799.99999999988</v>
      </c>
      <c r="X13" s="4">
        <v>0.873848789890769</v>
      </c>
      <c r="Y13" s="3">
        <v>2550200</v>
      </c>
      <c r="Z13" s="4">
        <v>0.9558470764617691</v>
      </c>
      <c r="AA13" s="3">
        <v>1150000</v>
      </c>
      <c r="AB13" s="4">
        <v>0.14436274509803906</v>
      </c>
      <c r="AC13" s="6">
        <v>117.1477079796266</v>
      </c>
      <c r="AD13" s="7">
        <v>4.294117647058823</v>
      </c>
    </row>
    <row r="14">
      <c r="A14" t="s">
        <v>104</v>
      </c>
      <c r="D14" s="8"/>
      <c r="E14" s="9"/>
      <c r="F14" s="9"/>
      <c r="G14" s="9"/>
      <c r="H14" s="9"/>
      <c r="I14" s="3"/>
      <c r="J14" s="10"/>
      <c r="K14" s="8"/>
      <c r="L14" s="4"/>
      <c r="M14" s="8"/>
      <c r="N14" s="4"/>
      <c r="O14" s="8"/>
      <c r="P14" s="3"/>
      <c r="Q14" s="3"/>
      <c r="R14" s="9"/>
      <c r="S14" s="9"/>
      <c r="T14" s="9"/>
      <c r="U14" s="9"/>
      <c r="V14" s="3"/>
      <c r="W14" s="3"/>
      <c r="X14" s="4"/>
      <c r="Y14" s="3"/>
      <c r="Z14" s="4"/>
      <c r="AA14" s="3"/>
      <c r="AB14" s="4"/>
      <c r="AC14" s="6"/>
      <c r="AD14" s="7"/>
    </row>
    <row r="15">
      <c r="A15" t="s">
        <v>19</v>
      </c>
      <c r="B15" t="s">
        <v>20</v>
      </c>
      <c r="C15" t="s">
        <v>105</v>
      </c>
      <c r="D15" s="8">
        <v>300000</v>
      </c>
      <c r="E15" s="9">
        <v>1.6666666666666667</v>
      </c>
      <c r="F15" s="9">
        <v>7</v>
      </c>
      <c r="G15" s="9">
        <v>8.333333333333334</v>
      </c>
      <c r="H15" s="9">
        <v>17000</v>
      </c>
      <c r="I15" s="3">
        <v>3166666.666666667</v>
      </c>
      <c r="J15" s="10">
        <v>186.27450980392157</v>
      </c>
      <c r="K15" s="8">
        <v>8760</v>
      </c>
      <c r="L15" s="4">
        <v>0.25</v>
      </c>
      <c r="M15" s="8">
        <v>2190</v>
      </c>
      <c r="N15" s="4">
        <v>0.35</v>
      </c>
      <c r="O15" s="8">
        <v>5950</v>
      </c>
      <c r="P15" s="3">
        <v>1108333.3333333333</v>
      </c>
      <c r="Q15" s="3">
        <v>2058333.3333333337</v>
      </c>
      <c r="R15" s="9">
        <v>2.7168949771689497</v>
      </c>
      <c r="S15" s="9">
        <v>3</v>
      </c>
      <c r="T15" s="9">
        <v>0.42857142857142855</v>
      </c>
      <c r="U15" s="9">
        <v>1</v>
      </c>
      <c r="V15" s="3">
        <v>256000</v>
      </c>
      <c r="W15" s="3">
        <v>852333.3333333333</v>
      </c>
      <c r="X15" s="4">
        <v>0.23097744360902256</v>
      </c>
      <c r="Y15" s="3">
        <v>2314333.333333334</v>
      </c>
      <c r="Z15" s="4">
        <v>0.7308421052631581</v>
      </c>
      <c r="AA15" s="3">
        <v>400000</v>
      </c>
      <c r="AB15" s="4">
        <v>3.329427083333333</v>
      </c>
      <c r="AC15" s="6">
        <v>5.63159953070004</v>
      </c>
      <c r="AD15" s="7">
        <v>4.294117647058823</v>
      </c>
    </row>
    <row r="16">
      <c r="A16" t="s">
        <v>26</v>
      </c>
      <c r="B16" t="s">
        <v>27</v>
      </c>
      <c r="C16" t="s">
        <v>105</v>
      </c>
      <c r="D16" s="8">
        <v>4800000</v>
      </c>
      <c r="E16" s="9">
        <v>2</v>
      </c>
      <c r="F16" s="9">
        <v>7</v>
      </c>
      <c r="G16" s="9">
        <v>80</v>
      </c>
      <c r="H16" s="9">
        <v>160000</v>
      </c>
      <c r="I16" s="3">
        <v>9600000</v>
      </c>
      <c r="J16" s="10">
        <v>60</v>
      </c>
      <c r="K16" s="8">
        <v>8760</v>
      </c>
      <c r="L16" s="4">
        <v>0.25</v>
      </c>
      <c r="M16" s="8">
        <v>2190</v>
      </c>
      <c r="N16" s="4">
        <v>0.35</v>
      </c>
      <c r="O16" s="8">
        <v>56000</v>
      </c>
      <c r="P16" s="3">
        <v>3360000</v>
      </c>
      <c r="Q16" s="3">
        <v>6240000</v>
      </c>
      <c r="R16" s="9">
        <v>25.570776255707763</v>
      </c>
      <c r="S16" s="9">
        <v>26</v>
      </c>
      <c r="T16" s="9">
        <v>3.7142857142857144</v>
      </c>
      <c r="U16" s="9">
        <v>4</v>
      </c>
      <c r="V16" s="3">
        <v>1752000</v>
      </c>
      <c r="W16" s="3">
        <v>1608000</v>
      </c>
      <c r="X16" s="4">
        <v>0.5214285714285715</v>
      </c>
      <c r="Y16" s="3">
        <v>7992000</v>
      </c>
      <c r="Z16" s="4">
        <v>0.8325</v>
      </c>
      <c r="AA16" s="3">
        <v>2125000</v>
      </c>
      <c r="AB16" s="4">
        <v>0.9178082191780822</v>
      </c>
      <c r="AC16" s="6">
        <v>15.85820895522388</v>
      </c>
      <c r="AD16" s="7">
        <v>4.38</v>
      </c>
    </row>
    <row r="17">
      <c r="A17" t="s">
        <v>32</v>
      </c>
      <c r="B17" t="s">
        <v>33</v>
      </c>
      <c r="C17" t="s">
        <v>105</v>
      </c>
      <c r="D17" s="8">
        <v>18000000</v>
      </c>
      <c r="E17" s="9">
        <v>1.9565217391304348</v>
      </c>
      <c r="F17" s="9">
        <v>7</v>
      </c>
      <c r="G17" s="9">
        <v>273.9130434782609</v>
      </c>
      <c r="H17" s="9">
        <v>684782.6086956522</v>
      </c>
      <c r="I17" s="3">
        <v>39717391.30434783</v>
      </c>
      <c r="J17" s="10">
        <v>58</v>
      </c>
      <c r="K17" s="8">
        <v>8760</v>
      </c>
      <c r="L17" s="4">
        <v>0.25</v>
      </c>
      <c r="M17" s="8">
        <v>2190</v>
      </c>
      <c r="N17" s="4">
        <v>0.35</v>
      </c>
      <c r="O17" s="8">
        <v>239673.91304347827</v>
      </c>
      <c r="P17" s="3">
        <v>13901086.956521738</v>
      </c>
      <c r="Q17" s="3">
        <v>25816304.34782609</v>
      </c>
      <c r="R17" s="9">
        <v>109.44014294222752</v>
      </c>
      <c r="S17" s="9">
        <v>110</v>
      </c>
      <c r="T17" s="9">
        <v>15.714285714285714</v>
      </c>
      <c r="U17" s="9">
        <v>16</v>
      </c>
      <c r="V17" s="3">
        <v>7320000</v>
      </c>
      <c r="W17" s="3">
        <v>6581086.956521738</v>
      </c>
      <c r="X17" s="4">
        <v>0.5265775275627492</v>
      </c>
      <c r="Y17" s="3">
        <v>33136304.34782609</v>
      </c>
      <c r="Z17" s="4">
        <v>0.8343021346469622</v>
      </c>
      <c r="AA17" s="3">
        <v>8425000</v>
      </c>
      <c r="AB17" s="4">
        <v>0.899055595153243</v>
      </c>
      <c r="AC17" s="6">
        <v>15.362203944108614</v>
      </c>
      <c r="AD17" s="7">
        <v>3.504</v>
      </c>
    </row>
    <row r="18">
      <c r="A18" t="s">
        <v>36</v>
      </c>
      <c r="B18" t="s">
        <v>37</v>
      </c>
      <c r="C18" t="s">
        <v>105</v>
      </c>
      <c r="D18" s="8">
        <v>5400000</v>
      </c>
      <c r="E18" s="9">
        <v>1.7419354838709677</v>
      </c>
      <c r="F18" s="9">
        <v>7</v>
      </c>
      <c r="G18" s="9">
        <v>90.58064516129032</v>
      </c>
      <c r="H18" s="9">
        <v>181161.29032258064</v>
      </c>
      <c r="I18" s="3">
        <v>10688516.129032258</v>
      </c>
      <c r="J18" s="10">
        <v>59</v>
      </c>
      <c r="K18" s="8">
        <v>8760</v>
      </c>
      <c r="L18" s="4">
        <v>0.25</v>
      </c>
      <c r="M18" s="8">
        <v>2190</v>
      </c>
      <c r="N18" s="4">
        <v>0.35</v>
      </c>
      <c r="O18" s="8">
        <v>63406.45161290322</v>
      </c>
      <c r="P18" s="3">
        <v>3740980.64516129</v>
      </c>
      <c r="Q18" s="3">
        <v>6947535.483870968</v>
      </c>
      <c r="R18" s="9">
        <v>28.952717631462658</v>
      </c>
      <c r="S18" s="9">
        <v>29</v>
      </c>
      <c r="T18" s="9">
        <v>4.142857142857143</v>
      </c>
      <c r="U18" s="9">
        <v>5</v>
      </c>
      <c r="V18" s="3">
        <v>2008000</v>
      </c>
      <c r="W18" s="3">
        <v>1732980.6451612902</v>
      </c>
      <c r="X18" s="4">
        <v>0.5367576554017233</v>
      </c>
      <c r="Y18" s="3">
        <v>8955535.483870968</v>
      </c>
      <c r="Z18" s="4">
        <v>0.8378651793906031</v>
      </c>
      <c r="AA18" s="3">
        <v>2350000</v>
      </c>
      <c r="AB18" s="4">
        <v>0.8630381699010409</v>
      </c>
      <c r="AC18" s="6">
        <v>16.272541807514187</v>
      </c>
      <c r="AD18" s="7">
        <v>4.38</v>
      </c>
    </row>
    <row r="19">
      <c r="A19" t="s">
        <v>39</v>
      </c>
      <c r="B19" t="s">
        <v>40</v>
      </c>
      <c r="C19" t="s">
        <v>105</v>
      </c>
      <c r="D19" s="8">
        <v>9500000</v>
      </c>
      <c r="E19" s="9">
        <v>1.6379310344827587</v>
      </c>
      <c r="F19" s="9">
        <v>7</v>
      </c>
      <c r="G19" s="9">
        <v>121.20689655172414</v>
      </c>
      <c r="H19" s="9">
        <v>290896.5517241379</v>
      </c>
      <c r="I19" s="3">
        <v>15150862.068965517</v>
      </c>
      <c r="J19" s="10">
        <v>52.083333333333336</v>
      </c>
      <c r="K19" s="8">
        <v>8760</v>
      </c>
      <c r="L19" s="4">
        <v>0.2</v>
      </c>
      <c r="M19" s="8">
        <v>1752</v>
      </c>
      <c r="N19" s="4">
        <v>0.35</v>
      </c>
      <c r="O19" s="8">
        <v>101813.79310344826</v>
      </c>
      <c r="P19" s="3">
        <v>5302801.72413793</v>
      </c>
      <c r="Q19" s="3">
        <v>9848060.344827587</v>
      </c>
      <c r="R19" s="9">
        <v>58.11289560699102</v>
      </c>
      <c r="S19" s="9">
        <v>59</v>
      </c>
      <c r="T19" s="9">
        <v>8.428571428571429</v>
      </c>
      <c r="U19" s="9">
        <v>9</v>
      </c>
      <c r="V19" s="3">
        <v>3968000</v>
      </c>
      <c r="W19" s="3">
        <v>1334801.7241379302</v>
      </c>
      <c r="X19" s="4">
        <v>0.7482836821784191</v>
      </c>
      <c r="Y19" s="3">
        <v>13816060.344827587</v>
      </c>
      <c r="Z19" s="4">
        <v>0.9118992887624467</v>
      </c>
      <c r="AA19" s="3">
        <v>4600000</v>
      </c>
      <c r="AB19" s="4">
        <v>0.3363915635428252</v>
      </c>
      <c r="AC19" s="6">
        <v>41.35445662212523</v>
      </c>
      <c r="AD19" s="7">
        <v>3.65</v>
      </c>
    </row>
    <row r="20">
      <c r="A20" t="s">
        <v>44</v>
      </c>
      <c r="B20" t="s">
        <v>45</v>
      </c>
      <c r="C20" t="s">
        <v>105</v>
      </c>
      <c r="D20" s="8">
        <v>3000000</v>
      </c>
      <c r="E20" s="9">
        <v>1.875</v>
      </c>
      <c r="F20" s="9">
        <v>7</v>
      </c>
      <c r="G20" s="9">
        <v>41.25</v>
      </c>
      <c r="H20" s="9">
        <v>80850</v>
      </c>
      <c r="I20" s="3">
        <v>4743750</v>
      </c>
      <c r="J20" s="10">
        <v>58.673469387755105</v>
      </c>
      <c r="K20" s="8">
        <v>8760</v>
      </c>
      <c r="L20" s="4">
        <v>0.25</v>
      </c>
      <c r="M20" s="8">
        <v>2190</v>
      </c>
      <c r="N20" s="4">
        <v>0.35</v>
      </c>
      <c r="O20" s="8">
        <v>28297.5</v>
      </c>
      <c r="P20" s="3">
        <v>1660312.5</v>
      </c>
      <c r="Q20" s="3">
        <v>3083437.5</v>
      </c>
      <c r="R20" s="9">
        <v>12.92123287671233</v>
      </c>
      <c r="S20" s="9">
        <v>13</v>
      </c>
      <c r="T20" s="9">
        <v>1.8571428571428572</v>
      </c>
      <c r="U20" s="9">
        <v>2</v>
      </c>
      <c r="V20" s="3">
        <v>876000</v>
      </c>
      <c r="W20" s="3">
        <v>784312.5</v>
      </c>
      <c r="X20" s="4">
        <v>0.5276115189158668</v>
      </c>
      <c r="Y20" s="3">
        <v>3959437.5</v>
      </c>
      <c r="Z20" s="4">
        <v>0.8346640316205534</v>
      </c>
      <c r="AA20" s="3">
        <v>1150000</v>
      </c>
      <c r="AB20" s="4">
        <v>0.895333904109589</v>
      </c>
      <c r="AC20" s="6">
        <v>17.595027492230457</v>
      </c>
      <c r="AD20" s="7">
        <v>4.469387755102041</v>
      </c>
    </row>
    <row r="21">
      <c r="A21" t="s">
        <v>49</v>
      </c>
      <c r="B21" t="s">
        <v>50</v>
      </c>
      <c r="C21" t="s">
        <v>105</v>
      </c>
      <c r="D21" s="8">
        <v>1700000</v>
      </c>
      <c r="E21" s="9">
        <v>1.7894736842105263</v>
      </c>
      <c r="F21" s="9">
        <v>7</v>
      </c>
      <c r="G21" s="9">
        <v>28.63157894736842</v>
      </c>
      <c r="H21" s="9">
        <v>57263.15789473684</v>
      </c>
      <c r="I21" s="3">
        <v>3206736.8421052634</v>
      </c>
      <c r="J21" s="10">
        <v>56</v>
      </c>
      <c r="K21" s="8">
        <v>8760</v>
      </c>
      <c r="L21" s="4">
        <v>0.25</v>
      </c>
      <c r="M21" s="8">
        <v>2190</v>
      </c>
      <c r="N21" s="4">
        <v>0.35</v>
      </c>
      <c r="O21" s="8">
        <v>20042.105263157893</v>
      </c>
      <c r="P21" s="3">
        <v>1122357.894736842</v>
      </c>
      <c r="Q21" s="3">
        <v>2084378.9473684214</v>
      </c>
      <c r="R21" s="9">
        <v>9.151646238884883</v>
      </c>
      <c r="S21" s="9">
        <v>10</v>
      </c>
      <c r="T21" s="9">
        <v>1.4285714285714286</v>
      </c>
      <c r="U21" s="9">
        <v>2</v>
      </c>
      <c r="V21" s="3">
        <v>720000</v>
      </c>
      <c r="W21" s="3">
        <v>402357.894736842</v>
      </c>
      <c r="X21" s="4">
        <v>0.6415066026410565</v>
      </c>
      <c r="Y21" s="3">
        <v>2804378.9473684216</v>
      </c>
      <c r="Z21" s="4">
        <v>0.8745273109243699</v>
      </c>
      <c r="AA21" s="3">
        <v>925000</v>
      </c>
      <c r="AB21" s="4">
        <v>0.558830409356725</v>
      </c>
      <c r="AC21" s="6">
        <v>27.587379656760156</v>
      </c>
      <c r="AD21" s="7">
        <v>4.38</v>
      </c>
    </row>
    <row r="22">
      <c r="A22" t="s">
        <v>53</v>
      </c>
      <c r="B22" t="s">
        <v>54</v>
      </c>
      <c r="C22" t="s">
        <v>106</v>
      </c>
      <c r="D22" s="8"/>
      <c r="E22" s="9"/>
      <c r="F22" s="9"/>
      <c r="G22" s="9"/>
      <c r="H22" s="9"/>
      <c r="I22" s="3"/>
      <c r="J22" s="10"/>
      <c r="K22" s="8"/>
      <c r="L22" s="4"/>
      <c r="M22" s="8"/>
      <c r="N22" s="4"/>
      <c r="O22" s="8"/>
      <c r="P22" s="3"/>
      <c r="Q22" s="3"/>
      <c r="R22" s="9"/>
      <c r="S22" s="9"/>
      <c r="T22" s="9"/>
      <c r="U22" s="9"/>
      <c r="V22" s="3"/>
      <c r="W22" s="3"/>
      <c r="X22" s="4"/>
      <c r="Y22" s="3"/>
      <c r="Z22" s="4"/>
      <c r="AA22" s="3"/>
      <c r="AB22" s="4"/>
      <c r="AC22" s="6"/>
      <c r="AD22" s="7"/>
    </row>
    <row r="23">
      <c r="A23" t="s">
        <v>58</v>
      </c>
      <c r="B23" t="s">
        <v>59</v>
      </c>
      <c r="C23" t="s">
        <v>105</v>
      </c>
      <c r="D23" s="8">
        <v>14000000</v>
      </c>
      <c r="E23" s="9">
        <v>1.8918918918918919</v>
      </c>
      <c r="F23" s="9">
        <v>7</v>
      </c>
      <c r="G23" s="9">
        <v>198.64864864864865</v>
      </c>
      <c r="H23" s="9">
        <v>619783.7837837838</v>
      </c>
      <c r="I23" s="3">
        <v>14700000</v>
      </c>
      <c r="J23" s="10">
        <v>23.71794871794872</v>
      </c>
      <c r="K23" s="8">
        <v>8760</v>
      </c>
      <c r="L23" s="4">
        <v>0.25</v>
      </c>
      <c r="M23" s="8">
        <v>2190</v>
      </c>
      <c r="N23" s="4">
        <v>0.35</v>
      </c>
      <c r="O23" s="8">
        <v>216924.32432432432</v>
      </c>
      <c r="P23" s="3">
        <v>5145000</v>
      </c>
      <c r="Q23" s="3">
        <v>9555000</v>
      </c>
      <c r="R23" s="9">
        <v>99.05220288781932</v>
      </c>
      <c r="S23" s="9">
        <v>100</v>
      </c>
      <c r="T23" s="9">
        <v>14.285714285714286</v>
      </c>
      <c r="U23" s="9">
        <v>15</v>
      </c>
      <c r="V23" s="3">
        <v>6520000</v>
      </c>
      <c r="W23" s="3">
        <v>-1375000</v>
      </c>
      <c r="X23" s="4">
        <v>1.2672497570456753</v>
      </c>
      <c r="Y23" s="3">
        <v>16075000</v>
      </c>
      <c r="Z23" s="4">
        <v>1.0935374149659864</v>
      </c>
      <c r="AA23" s="3">
        <v>7675000</v>
      </c>
      <c r="AB23" s="4">
        <v>-0.21088957055214724</v>
      </c>
      <c r="AC23" s="6"/>
      <c r="AD23" s="7">
        <v>2.8076923076923075</v>
      </c>
    </row>
    <row r="24">
      <c r="A24" t="s">
        <v>64</v>
      </c>
      <c r="B24" t="s">
        <v>65</v>
      </c>
      <c r="C24" t="s">
        <v>105</v>
      </c>
      <c r="D24" s="8">
        <v>4100000</v>
      </c>
      <c r="E24" s="9">
        <v>2</v>
      </c>
      <c r="F24" s="9">
        <v>7</v>
      </c>
      <c r="G24" s="9">
        <v>68</v>
      </c>
      <c r="H24" s="9">
        <v>141440</v>
      </c>
      <c r="I24" s="3">
        <v>4216000</v>
      </c>
      <c r="J24" s="10">
        <v>29.807692307692307</v>
      </c>
      <c r="K24" s="8">
        <v>8760</v>
      </c>
      <c r="L24" s="4">
        <v>0.25</v>
      </c>
      <c r="M24" s="8">
        <v>2190</v>
      </c>
      <c r="N24" s="4">
        <v>0.35</v>
      </c>
      <c r="O24" s="8">
        <v>49504</v>
      </c>
      <c r="P24" s="3">
        <v>1475600</v>
      </c>
      <c r="Q24" s="3">
        <v>2740400</v>
      </c>
      <c r="R24" s="9">
        <v>22.60456621004566</v>
      </c>
      <c r="S24" s="9">
        <v>23</v>
      </c>
      <c r="T24" s="9">
        <v>3.2857142857142856</v>
      </c>
      <c r="U24" s="9">
        <v>4</v>
      </c>
      <c r="V24" s="3">
        <v>1492000</v>
      </c>
      <c r="W24" s="3">
        <v>-16400</v>
      </c>
      <c r="X24" s="4">
        <v>1.0111141230685823</v>
      </c>
      <c r="Y24" s="3">
        <v>4232400</v>
      </c>
      <c r="Z24" s="4">
        <v>1.0038899430740038</v>
      </c>
      <c r="AA24" s="3">
        <v>1900000</v>
      </c>
      <c r="AB24" s="4">
        <v>-0.01099195710455764</v>
      </c>
      <c r="AC24" s="6"/>
      <c r="AD24" s="7">
        <v>4.211538461538462</v>
      </c>
    </row>
    <row r="25">
      <c r="A25" t="s">
        <v>68</v>
      </c>
      <c r="B25" t="s">
        <v>69</v>
      </c>
      <c r="C25" t="s">
        <v>105</v>
      </c>
      <c r="D25" s="8">
        <v>8400000</v>
      </c>
      <c r="E25" s="9">
        <v>1.9534883720930232</v>
      </c>
      <c r="F25" s="9">
        <v>7</v>
      </c>
      <c r="G25" s="9">
        <v>132.83720930232556</v>
      </c>
      <c r="H25" s="9">
        <v>332093.0232558139</v>
      </c>
      <c r="I25" s="3">
        <v>8103069.7674418595</v>
      </c>
      <c r="J25" s="10">
        <v>24.4</v>
      </c>
      <c r="K25" s="8">
        <v>8760</v>
      </c>
      <c r="L25" s="4">
        <v>0.25</v>
      </c>
      <c r="M25" s="8">
        <v>2190</v>
      </c>
      <c r="N25" s="4">
        <v>0.35</v>
      </c>
      <c r="O25" s="8">
        <v>116232.55813953487</v>
      </c>
      <c r="P25" s="3">
        <v>2836074.4186046505</v>
      </c>
      <c r="Q25" s="3">
        <v>5266995.348837209</v>
      </c>
      <c r="R25" s="9">
        <v>53.074227460974825</v>
      </c>
      <c r="S25" s="9">
        <v>54</v>
      </c>
      <c r="T25" s="9">
        <v>7.714285714285714</v>
      </c>
      <c r="U25" s="9">
        <v>8</v>
      </c>
      <c r="V25" s="3">
        <v>3392000</v>
      </c>
      <c r="W25" s="3">
        <v>-555925.5813953495</v>
      </c>
      <c r="X25" s="4">
        <v>1.196019391363103</v>
      </c>
      <c r="Y25" s="3">
        <v>8658995.348837208</v>
      </c>
      <c r="Z25" s="4">
        <v>1.0686067869770859</v>
      </c>
      <c r="AA25" s="3">
        <v>4225000</v>
      </c>
      <c r="AB25" s="4">
        <v>-0.1638931548924969</v>
      </c>
      <c r="AC25" s="6"/>
      <c r="AD25" s="7">
        <v>3.504</v>
      </c>
    </row>
    <row r="26">
      <c r="A26" t="s">
        <v>72</v>
      </c>
      <c r="B26" t="s">
        <v>73</v>
      </c>
      <c r="C26" t="s">
        <v>105</v>
      </c>
      <c r="D26" s="8">
        <v>5200000</v>
      </c>
      <c r="E26" s="9">
        <v>1.8571428571428572</v>
      </c>
      <c r="F26" s="9">
        <v>7</v>
      </c>
      <c r="G26" s="9">
        <v>85.42857142857143</v>
      </c>
      <c r="H26" s="9">
        <v>174274.2857142857</v>
      </c>
      <c r="I26" s="3">
        <v>4954857.142857143</v>
      </c>
      <c r="J26" s="10">
        <v>28.431372549019606</v>
      </c>
      <c r="K26" s="8">
        <v>8760</v>
      </c>
      <c r="L26" s="4">
        <v>0.25</v>
      </c>
      <c r="M26" s="8">
        <v>2628</v>
      </c>
      <c r="N26" s="4">
        <v>0.35</v>
      </c>
      <c r="O26" s="8">
        <v>60995.99999999999</v>
      </c>
      <c r="P26" s="3">
        <v>1734199.9999999998</v>
      </c>
      <c r="Q26" s="3">
        <v>3220657.1428571427</v>
      </c>
      <c r="R26" s="9">
        <v>23.210045662100455</v>
      </c>
      <c r="S26" s="9">
        <v>24</v>
      </c>
      <c r="T26" s="9">
        <v>3.4285714285714284</v>
      </c>
      <c r="U26" s="9">
        <v>4</v>
      </c>
      <c r="V26" s="3">
        <v>1528000</v>
      </c>
      <c r="W26" s="3">
        <v>206199.99999999977</v>
      </c>
      <c r="X26" s="4">
        <v>0.8810979125821705</v>
      </c>
      <c r="Y26" s="3">
        <v>4748657.142857143</v>
      </c>
      <c r="Z26" s="4">
        <v>0.9583842694037596</v>
      </c>
      <c r="AA26" s="3">
        <v>1975000</v>
      </c>
      <c r="AB26" s="4">
        <v>0.13494764397905745</v>
      </c>
      <c r="AC26" s="6">
        <v>114.9369544131912</v>
      </c>
      <c r="AD26" s="7">
        <v>4.294117647058823</v>
      </c>
    </row>
  </sheetData>
</worksheet>
</file>

<file path=xl/worksheets/sheet3.xml><?xml version="1.0" encoding="utf-8"?>
<worksheet xmlns="http://schemas.openxmlformats.org/spreadsheetml/2006/main" xmlns:r="http://schemas.openxmlformats.org/officeDocument/2006/relationships">
  <dimension ref="A1:H475"/>
  <sheetViews>
    <sheetView workbookViewId="0">
      <pane ySplit="1" topLeftCell="A2" activePane="bottomLeft" state="frozen"/>
    </sheetView>
  </sheetViews>
  <sheetFormatPr defaultRowHeight="15"/>
  <cols>
    <col min="1" max="1" width="16" customWidth="1"/>
    <col min="2" max="2" width="20" customWidth="1"/>
    <col min="3" max="3" width="40" customWidth="1"/>
    <col min="4" max="4" width="52" customWidth="1"/>
    <col min="5" max="5" width="52" customWidth="1"/>
    <col min="6" max="6" width="22" customWidth="1"/>
    <col min="7" max="7" width="52" customWidth="1"/>
    <col min="8" max="8" width="22" customWidth="1"/>
  </cols>
  <sheetData>
    <row r="1">
      <c r="A1" s="2" t="s">
        <v>0</v>
      </c>
      <c r="B1" s="2" t="s">
        <v>1</v>
      </c>
      <c r="C1" s="2" t="s">
        <v>107</v>
      </c>
      <c r="D1" s="2" t="s">
        <v>108</v>
      </c>
      <c r="E1" s="2" t="s">
        <v>109</v>
      </c>
      <c r="F1" s="2" t="s">
        <v>110</v>
      </c>
      <c r="G1" s="2" t="s">
        <v>111</v>
      </c>
      <c r="H1" s="2" t="s">
        <v>112</v>
      </c>
    </row>
    <row r="2">
      <c r="A2" t="s">
        <v>19</v>
      </c>
      <c r="B2" t="s">
        <v>20</v>
      </c>
      <c r="C2" t="s">
        <v>113</v>
      </c>
      <c r="D2" t="s">
        <v>114</v>
      </c>
      <c r="E2" t="s">
        <v>115</v>
      </c>
      <c r="F2">
        <v>180000</v>
      </c>
      <c r="G2" t="s">
        <v>116</v>
      </c>
      <c r="H2">
        <v>300000</v>
      </c>
    </row>
    <row r="3">
      <c r="A3" t="s">
        <v>19</v>
      </c>
      <c r="B3" t="s">
        <v>20</v>
      </c>
      <c r="C3" t="s">
        <v>77</v>
      </c>
      <c r="D3" t="s">
        <v>117</v>
      </c>
      <c r="E3" t="s">
        <v>118</v>
      </c>
      <c r="F3">
        <v>1</v>
      </c>
      <c r="G3" t="s">
        <v>119</v>
      </c>
      <c r="H3">
        <v>1.6666666666666667</v>
      </c>
    </row>
    <row r="4">
      <c r="A4" t="s">
        <v>19</v>
      </c>
      <c r="B4" t="s">
        <v>20</v>
      </c>
      <c r="C4" t="s">
        <v>79</v>
      </c>
      <c r="D4" t="s">
        <v>120</v>
      </c>
      <c r="E4" t="s">
        <v>121</v>
      </c>
      <c r="F4">
        <v>5</v>
      </c>
      <c r="G4" t="s">
        <v>122</v>
      </c>
      <c r="H4">
        <v>8.333333333333334</v>
      </c>
    </row>
    <row r="5">
      <c r="A5" t="s">
        <v>19</v>
      </c>
      <c r="B5" t="s">
        <v>20</v>
      </c>
      <c r="C5" t="s">
        <v>123</v>
      </c>
      <c r="D5" t="s">
        <v>124</v>
      </c>
      <c r="E5" t="s">
        <v>125</v>
      </c>
      <c r="F5">
        <v>10200</v>
      </c>
      <c r="G5" t="s">
        <v>126</v>
      </c>
      <c r="H5">
        <v>17000</v>
      </c>
    </row>
    <row r="6">
      <c r="A6" t="s">
        <v>19</v>
      </c>
      <c r="B6" t="s">
        <v>20</v>
      </c>
      <c r="C6" t="s">
        <v>127</v>
      </c>
      <c r="D6" t="s">
        <v>128</v>
      </c>
      <c r="E6" t="s">
        <v>129</v>
      </c>
      <c r="F6">
        <v>1900000</v>
      </c>
      <c r="G6" t="s">
        <v>130</v>
      </c>
      <c r="H6">
        <v>3166666.666666667</v>
      </c>
    </row>
    <row r="7">
      <c r="A7" t="s">
        <v>19</v>
      </c>
      <c r="B7" t="s">
        <v>20</v>
      </c>
      <c r="C7" t="s">
        <v>131</v>
      </c>
      <c r="D7" t="s">
        <v>132</v>
      </c>
      <c r="E7" t="s">
        <v>133</v>
      </c>
      <c r="F7">
        <v>186.27450980392157</v>
      </c>
      <c r="G7" t="s">
        <v>133</v>
      </c>
      <c r="H7">
        <v>186.27450980392157</v>
      </c>
    </row>
    <row r="8">
      <c r="A8" t="s">
        <v>19</v>
      </c>
      <c r="B8" t="s">
        <v>20</v>
      </c>
      <c r="C8" t="s">
        <v>134</v>
      </c>
      <c r="D8" t="s">
        <v>135</v>
      </c>
      <c r="E8" t="s">
        <v>136</v>
      </c>
      <c r="F8">
        <v>8760</v>
      </c>
      <c r="G8" t="s">
        <v>136</v>
      </c>
      <c r="H8">
        <v>8760</v>
      </c>
    </row>
    <row r="9">
      <c r="A9" t="s">
        <v>19</v>
      </c>
      <c r="B9" t="s">
        <v>20</v>
      </c>
      <c r="C9" t="s">
        <v>137</v>
      </c>
      <c r="D9" t="s">
        <v>138</v>
      </c>
      <c r="E9" t="s">
        <v>139</v>
      </c>
      <c r="F9">
        <v>0.25</v>
      </c>
      <c r="G9" t="s">
        <v>139</v>
      </c>
      <c r="H9">
        <v>0.25</v>
      </c>
    </row>
    <row r="10">
      <c r="A10" t="s">
        <v>19</v>
      </c>
      <c r="B10" t="s">
        <v>20</v>
      </c>
      <c r="C10" t="s">
        <v>140</v>
      </c>
      <c r="D10" t="s">
        <v>141</v>
      </c>
      <c r="E10" t="s">
        <v>142</v>
      </c>
      <c r="F10">
        <v>2190</v>
      </c>
      <c r="G10" t="s">
        <v>142</v>
      </c>
      <c r="H10">
        <v>2190</v>
      </c>
    </row>
    <row r="11">
      <c r="A11" t="s">
        <v>19</v>
      </c>
      <c r="B11" t="s">
        <v>20</v>
      </c>
      <c r="C11" t="s">
        <v>143</v>
      </c>
      <c r="D11" t="s">
        <v>144</v>
      </c>
      <c r="E11" t="s">
        <v>145</v>
      </c>
      <c r="F11">
        <v>0.35</v>
      </c>
      <c r="G11" t="s">
        <v>145</v>
      </c>
      <c r="H11">
        <v>0.35</v>
      </c>
    </row>
    <row r="12">
      <c r="A12" t="s">
        <v>19</v>
      </c>
      <c r="B12" t="s">
        <v>20</v>
      </c>
      <c r="C12" t="s">
        <v>87</v>
      </c>
      <c r="D12" t="s">
        <v>146</v>
      </c>
      <c r="E12" t="s">
        <v>147</v>
      </c>
      <c r="F12">
        <v>3570</v>
      </c>
      <c r="G12" t="s">
        <v>148</v>
      </c>
      <c r="H12">
        <v>5950</v>
      </c>
    </row>
    <row r="13">
      <c r="A13" t="s">
        <v>19</v>
      </c>
      <c r="B13" t="s">
        <v>20</v>
      </c>
      <c r="C13" t="s">
        <v>88</v>
      </c>
      <c r="D13" t="s">
        <v>149</v>
      </c>
      <c r="E13" t="s">
        <v>150</v>
      </c>
      <c r="F13">
        <v>665000</v>
      </c>
      <c r="G13" t="s">
        <v>151</v>
      </c>
      <c r="H13">
        <v>1108333.3333333333</v>
      </c>
    </row>
    <row r="14">
      <c r="A14" t="s">
        <v>19</v>
      </c>
      <c r="B14" t="s">
        <v>20</v>
      </c>
      <c r="C14" t="s">
        <v>89</v>
      </c>
      <c r="D14" t="s">
        <v>152</v>
      </c>
      <c r="E14" t="s">
        <v>153</v>
      </c>
      <c r="F14">
        <v>1235000</v>
      </c>
      <c r="G14" t="s">
        <v>154</v>
      </c>
      <c r="H14">
        <v>2058333.3333333337</v>
      </c>
    </row>
    <row r="15">
      <c r="A15" t="s">
        <v>19</v>
      </c>
      <c r="B15" t="s">
        <v>20</v>
      </c>
      <c r="C15" t="s">
        <v>155</v>
      </c>
      <c r="D15" t="s">
        <v>156</v>
      </c>
      <c r="E15" t="s">
        <v>157</v>
      </c>
      <c r="F15">
        <v>1.63013698630137</v>
      </c>
      <c r="G15" t="s">
        <v>158</v>
      </c>
      <c r="H15">
        <v>2.7168949771689497</v>
      </c>
    </row>
    <row r="16">
      <c r="A16" t="s">
        <v>19</v>
      </c>
      <c r="B16" t="s">
        <v>20</v>
      </c>
      <c r="C16" t="s">
        <v>159</v>
      </c>
      <c r="D16" t="s">
        <v>160</v>
      </c>
      <c r="E16" t="s">
        <v>161</v>
      </c>
      <c r="F16">
        <v>2</v>
      </c>
      <c r="G16" t="s">
        <v>162</v>
      </c>
      <c r="H16">
        <v>3</v>
      </c>
    </row>
    <row r="17">
      <c r="A17" t="s">
        <v>19</v>
      </c>
      <c r="B17" t="s">
        <v>20</v>
      </c>
      <c r="C17" t="s">
        <v>163</v>
      </c>
      <c r="D17" t="s">
        <v>164</v>
      </c>
      <c r="E17" t="s">
        <v>165</v>
      </c>
      <c r="F17">
        <v>0.4</v>
      </c>
      <c r="G17" t="s">
        <v>166</v>
      </c>
      <c r="H17">
        <v>0.42857142857142855</v>
      </c>
    </row>
    <row r="18">
      <c r="A18" t="s">
        <v>19</v>
      </c>
      <c r="B18" t="s">
        <v>20</v>
      </c>
      <c r="C18" t="s">
        <v>167</v>
      </c>
      <c r="D18" t="s">
        <v>168</v>
      </c>
      <c r="E18" t="s">
        <v>169</v>
      </c>
      <c r="F18">
        <v>1</v>
      </c>
      <c r="G18" t="s">
        <v>170</v>
      </c>
      <c r="H18">
        <v>1</v>
      </c>
    </row>
    <row r="19">
      <c r="A19" t="s">
        <v>19</v>
      </c>
      <c r="B19" t="s">
        <v>20</v>
      </c>
      <c r="C19" t="s">
        <v>171</v>
      </c>
      <c r="D19" t="s">
        <v>172</v>
      </c>
      <c r="E19" t="s">
        <v>173</v>
      </c>
      <c r="F19">
        <v>204000</v>
      </c>
      <c r="G19" t="s">
        <v>174</v>
      </c>
      <c r="H19">
        <v>256000</v>
      </c>
    </row>
    <row r="20">
      <c r="A20" t="s">
        <v>19</v>
      </c>
      <c r="B20" t="s">
        <v>20</v>
      </c>
      <c r="C20" t="s">
        <v>95</v>
      </c>
      <c r="D20" t="s">
        <v>175</v>
      </c>
      <c r="E20" t="s">
        <v>176</v>
      </c>
      <c r="F20">
        <v>461000</v>
      </c>
      <c r="G20" t="s">
        <v>177</v>
      </c>
      <c r="H20">
        <v>852333.3333333333</v>
      </c>
    </row>
    <row r="21">
      <c r="A21" t="s">
        <v>19</v>
      </c>
      <c r="B21" t="s">
        <v>20</v>
      </c>
      <c r="C21" t="s">
        <v>178</v>
      </c>
      <c r="D21" t="s">
        <v>179</v>
      </c>
      <c r="E21" t="s">
        <v>180</v>
      </c>
      <c r="F21">
        <v>0.3067669172932331</v>
      </c>
      <c r="G21" t="s">
        <v>181</v>
      </c>
      <c r="H21">
        <v>0.23097744360902256</v>
      </c>
    </row>
    <row r="22">
      <c r="A22" t="s">
        <v>19</v>
      </c>
      <c r="B22" t="s">
        <v>20</v>
      </c>
      <c r="C22" t="s">
        <v>182</v>
      </c>
      <c r="D22" t="s">
        <v>183</v>
      </c>
      <c r="E22" t="s">
        <v>184</v>
      </c>
      <c r="F22">
        <v>2.2598039215686274</v>
      </c>
      <c r="G22" t="s">
        <v>185</v>
      </c>
      <c r="H22">
        <v>3.329427083333333</v>
      </c>
    </row>
    <row r="23">
      <c r="A23" t="s">
        <v>19</v>
      </c>
      <c r="B23" t="s">
        <v>20</v>
      </c>
      <c r="C23" t="s">
        <v>186</v>
      </c>
      <c r="D23" t="s">
        <v>187</v>
      </c>
      <c r="E23" t="s">
        <v>188</v>
      </c>
      <c r="F23">
        <v>8.459869848156183</v>
      </c>
      <c r="G23" t="s">
        <v>189</v>
      </c>
      <c r="H23">
        <v>5.63159953070004</v>
      </c>
    </row>
    <row r="24">
      <c r="A24" t="s">
        <v>19</v>
      </c>
      <c r="B24" t="s">
        <v>20</v>
      </c>
      <c r="C24" t="s">
        <v>190</v>
      </c>
      <c r="D24" t="s">
        <v>191</v>
      </c>
      <c r="E24" t="s">
        <v>192</v>
      </c>
      <c r="F24">
        <v>1439000</v>
      </c>
      <c r="G24" t="s">
        <v>193</v>
      </c>
      <c r="H24">
        <v>2314333.333333334</v>
      </c>
    </row>
    <row r="25">
      <c r="A25" t="s">
        <v>19</v>
      </c>
      <c r="B25" t="s">
        <v>20</v>
      </c>
      <c r="C25" t="s">
        <v>98</v>
      </c>
      <c r="D25" t="s">
        <v>194</v>
      </c>
      <c r="E25" t="s">
        <v>195</v>
      </c>
      <c r="F25">
        <v>0.7573684210526316</v>
      </c>
      <c r="G25" t="s">
        <v>196</v>
      </c>
      <c r="H25">
        <v>0.7308421052631581</v>
      </c>
    </row>
    <row r="26">
      <c r="A26" t="s">
        <v>19</v>
      </c>
      <c r="B26" t="s">
        <v>20</v>
      </c>
      <c r="C26" t="s">
        <v>99</v>
      </c>
      <c r="D26" t="s">
        <v>197</v>
      </c>
      <c r="E26" t="s">
        <v>198</v>
      </c>
      <c r="F26">
        <v>325000</v>
      </c>
      <c r="G26" t="s">
        <v>199</v>
      </c>
      <c r="H26">
        <v>400000</v>
      </c>
    </row>
    <row r="27">
      <c r="A27" t="s">
        <v>19</v>
      </c>
      <c r="B27" t="s">
        <v>20</v>
      </c>
      <c r="C27" t="s">
        <v>101</v>
      </c>
      <c r="D27" t="s">
        <v>200</v>
      </c>
      <c r="E27" t="s">
        <v>201</v>
      </c>
      <c r="F27">
        <v>4.294117647058823</v>
      </c>
      <c r="G27" t="s">
        <v>201</v>
      </c>
      <c r="H27">
        <v>4.294117647058823</v>
      </c>
    </row>
    <row r="28">
      <c r="A28" t="s">
        <v>19</v>
      </c>
      <c r="B28" t="s">
        <v>20</v>
      </c>
      <c r="C28" t="s">
        <v>202</v>
      </c>
      <c r="D28" t="s">
        <v>203</v>
      </c>
      <c r="E28" t="s">
        <v>204</v>
      </c>
      <c r="F28">
        <v>10.555555555555555</v>
      </c>
      <c r="G28" t="s">
        <v>205</v>
      </c>
      <c r="H28">
        <v>10.555555555555557</v>
      </c>
    </row>
    <row r="29">
      <c r="A29" t="s">
        <v>19</v>
      </c>
      <c r="B29" t="s">
        <v>20</v>
      </c>
      <c r="C29" t="s">
        <v>206</v>
      </c>
      <c r="D29" t="s">
        <v>207</v>
      </c>
      <c r="E29" t="s">
        <v>208</v>
      </c>
      <c r="F29">
        <v>1.1333333333333333</v>
      </c>
      <c r="G29" t="s">
        <v>209</v>
      </c>
      <c r="H29">
        <v>0.8533333333333334</v>
      </c>
    </row>
    <row r="30">
      <c r="A30" t="s">
        <v>19</v>
      </c>
      <c r="B30" t="s">
        <v>20</v>
      </c>
      <c r="C30" t="s">
        <v>210</v>
      </c>
      <c r="D30" t="s">
        <v>211</v>
      </c>
      <c r="E30" t="s">
        <v>212</v>
      </c>
      <c r="F30">
        <v>2.561111111111111</v>
      </c>
      <c r="G30" t="s">
        <v>213</v>
      </c>
      <c r="H30">
        <v>2.8411111111111107</v>
      </c>
    </row>
    <row r="31">
      <c r="A31" t="s">
        <v>19</v>
      </c>
      <c r="B31" t="s">
        <v>20</v>
      </c>
      <c r="C31" t="s">
        <v>214</v>
      </c>
    </row>
    <row r="32">
      <c r="A32" t="s">
        <v>19</v>
      </c>
      <c r="B32" t="s">
        <v>20</v>
      </c>
      <c r="C32" t="s">
        <v>215</v>
      </c>
      <c r="D32" t="s">
        <v>216</v>
      </c>
      <c r="E32" t="s">
        <v>217</v>
      </c>
      <c r="F32">
        <v>24</v>
      </c>
    </row>
    <row r="33">
      <c r="A33" t="s">
        <v>19</v>
      </c>
      <c r="B33" t="s">
        <v>20</v>
      </c>
      <c r="C33" t="s">
        <v>218</v>
      </c>
      <c r="D33" t="s">
        <v>216</v>
      </c>
      <c r="E33" t="s">
        <v>219</v>
      </c>
      <c r="F33">
        <v>365</v>
      </c>
    </row>
    <row r="34">
      <c r="A34" t="s">
        <v>19</v>
      </c>
      <c r="B34" t="s">
        <v>20</v>
      </c>
      <c r="C34" t="s">
        <v>220</v>
      </c>
      <c r="D34" t="s">
        <v>216</v>
      </c>
      <c r="E34" t="s">
        <v>221</v>
      </c>
      <c r="F34">
        <v>1</v>
      </c>
    </row>
    <row r="35">
      <c r="A35" t="s">
        <v>19</v>
      </c>
      <c r="B35" t="s">
        <v>20</v>
      </c>
      <c r="C35" t="s">
        <v>222</v>
      </c>
      <c r="D35" t="s">
        <v>223</v>
      </c>
      <c r="E35" t="s">
        <v>224</v>
      </c>
      <c r="F35">
        <v>52000</v>
      </c>
    </row>
    <row r="36">
      <c r="A36" t="s">
        <v>19</v>
      </c>
      <c r="B36" t="s">
        <v>20</v>
      </c>
      <c r="C36" t="s">
        <v>225</v>
      </c>
      <c r="D36" t="s">
        <v>223</v>
      </c>
      <c r="E36" t="s">
        <v>226</v>
      </c>
      <c r="F36">
        <v>100000</v>
      </c>
    </row>
    <row r="37">
      <c r="A37" t="s">
        <v>19</v>
      </c>
      <c r="B37" t="s">
        <v>20</v>
      </c>
      <c r="C37" t="s">
        <v>227</v>
      </c>
      <c r="D37" t="s">
        <v>216</v>
      </c>
      <c r="E37" t="s">
        <v>228</v>
      </c>
      <c r="F37">
        <v>5</v>
      </c>
    </row>
    <row r="38">
      <c r="A38" t="s">
        <v>19</v>
      </c>
      <c r="B38" t="s">
        <v>20</v>
      </c>
      <c r="C38" t="s">
        <v>229</v>
      </c>
      <c r="D38" t="s">
        <v>216</v>
      </c>
      <c r="E38" t="s">
        <v>230</v>
      </c>
      <c r="F38">
        <v>7</v>
      </c>
    </row>
    <row r="39">
      <c r="A39" t="s">
        <v>19</v>
      </c>
      <c r="B39" t="s">
        <v>20</v>
      </c>
      <c r="C39" t="s">
        <v>231</v>
      </c>
      <c r="D39" t="s">
        <v>223</v>
      </c>
      <c r="E39" t="s">
        <v>232</v>
      </c>
      <c r="F39">
        <v>175000</v>
      </c>
    </row>
    <row r="40">
      <c r="A40" t="s">
        <v>19</v>
      </c>
      <c r="B40" t="s">
        <v>20</v>
      </c>
      <c r="C40" t="s">
        <v>233</v>
      </c>
      <c r="D40" t="s">
        <v>223</v>
      </c>
      <c r="E40" t="s">
        <v>234</v>
      </c>
      <c r="F40">
        <v>75000</v>
      </c>
    </row>
    <row r="41">
      <c r="A41" t="s">
        <v>19</v>
      </c>
      <c r="B41" t="s">
        <v>20</v>
      </c>
      <c r="C41" t="s">
        <v>235</v>
      </c>
      <c r="D41" t="s">
        <v>216</v>
      </c>
      <c r="E41" t="s">
        <v>236</v>
      </c>
      <c r="F41">
        <v>0.25</v>
      </c>
    </row>
    <row r="42">
      <c r="A42" t="s">
        <v>19</v>
      </c>
      <c r="B42" t="s">
        <v>20</v>
      </c>
      <c r="C42" t="s">
        <v>237</v>
      </c>
      <c r="D42" t="s">
        <v>216</v>
      </c>
      <c r="E42" t="s">
        <v>238</v>
      </c>
      <c r="F42">
        <v>0.35</v>
      </c>
    </row>
    <row r="43">
      <c r="A43" t="s">
        <v>19</v>
      </c>
      <c r="B43" t="s">
        <v>20</v>
      </c>
      <c r="C43" t="s">
        <v>239</v>
      </c>
      <c r="D43" t="s">
        <v>216</v>
      </c>
      <c r="E43" t="s">
        <v>240</v>
      </c>
    </row>
    <row r="45">
      <c r="A45" t="s">
        <v>26</v>
      </c>
      <c r="B45" t="s">
        <v>27</v>
      </c>
      <c r="C45" t="s">
        <v>113</v>
      </c>
      <c r="D45" t="s">
        <v>114</v>
      </c>
      <c r="E45" t="s">
        <v>241</v>
      </c>
      <c r="F45">
        <v>2400000</v>
      </c>
      <c r="G45" t="s">
        <v>242</v>
      </c>
      <c r="H45">
        <v>4800000</v>
      </c>
    </row>
    <row r="46">
      <c r="A46" t="s">
        <v>26</v>
      </c>
      <c r="B46" t="s">
        <v>27</v>
      </c>
      <c r="C46" t="s">
        <v>77</v>
      </c>
      <c r="D46" t="s">
        <v>117</v>
      </c>
      <c r="E46" t="s">
        <v>118</v>
      </c>
      <c r="F46">
        <v>1</v>
      </c>
      <c r="G46" t="s">
        <v>243</v>
      </c>
      <c r="H46">
        <v>2</v>
      </c>
    </row>
    <row r="47">
      <c r="A47" t="s">
        <v>26</v>
      </c>
      <c r="B47" t="s">
        <v>27</v>
      </c>
      <c r="C47" t="s">
        <v>79</v>
      </c>
      <c r="D47" t="s">
        <v>120</v>
      </c>
      <c r="E47" t="s">
        <v>244</v>
      </c>
      <c r="F47">
        <v>40</v>
      </c>
      <c r="G47" t="s">
        <v>245</v>
      </c>
      <c r="H47">
        <v>80</v>
      </c>
    </row>
    <row r="48">
      <c r="A48" t="s">
        <v>26</v>
      </c>
      <c r="B48" t="s">
        <v>27</v>
      </c>
      <c r="C48" t="s">
        <v>123</v>
      </c>
      <c r="D48" t="s">
        <v>124</v>
      </c>
      <c r="E48" t="s">
        <v>246</v>
      </c>
      <c r="F48">
        <v>80000</v>
      </c>
      <c r="G48" t="s">
        <v>247</v>
      </c>
      <c r="H48">
        <v>160000</v>
      </c>
    </row>
    <row r="49">
      <c r="A49" t="s">
        <v>26</v>
      </c>
      <c r="B49" t="s">
        <v>27</v>
      </c>
      <c r="C49" t="s">
        <v>127</v>
      </c>
      <c r="D49" t="s">
        <v>128</v>
      </c>
      <c r="E49" t="s">
        <v>248</v>
      </c>
      <c r="F49">
        <v>4800000</v>
      </c>
      <c r="G49" t="s">
        <v>249</v>
      </c>
      <c r="H49">
        <v>9600000</v>
      </c>
    </row>
    <row r="50">
      <c r="A50" t="s">
        <v>26</v>
      </c>
      <c r="B50" t="s">
        <v>27</v>
      </c>
      <c r="C50" t="s">
        <v>131</v>
      </c>
      <c r="D50" t="s">
        <v>132</v>
      </c>
      <c r="E50" t="s">
        <v>250</v>
      </c>
      <c r="F50">
        <v>60</v>
      </c>
      <c r="G50" t="s">
        <v>250</v>
      </c>
      <c r="H50">
        <v>60</v>
      </c>
    </row>
    <row r="51">
      <c r="A51" t="s">
        <v>26</v>
      </c>
      <c r="B51" t="s">
        <v>27</v>
      </c>
      <c r="C51" t="s">
        <v>134</v>
      </c>
      <c r="D51" t="s">
        <v>135</v>
      </c>
      <c r="E51" t="s">
        <v>136</v>
      </c>
      <c r="F51">
        <v>8760</v>
      </c>
      <c r="G51" t="s">
        <v>136</v>
      </c>
      <c r="H51">
        <v>8760</v>
      </c>
    </row>
    <row r="52">
      <c r="A52" t="s">
        <v>26</v>
      </c>
      <c r="B52" t="s">
        <v>27</v>
      </c>
      <c r="C52" t="s">
        <v>137</v>
      </c>
      <c r="D52" t="s">
        <v>138</v>
      </c>
      <c r="E52" t="s">
        <v>139</v>
      </c>
      <c r="F52">
        <v>0.25</v>
      </c>
      <c r="G52" t="s">
        <v>139</v>
      </c>
      <c r="H52">
        <v>0.25</v>
      </c>
    </row>
    <row r="53">
      <c r="A53" t="s">
        <v>26</v>
      </c>
      <c r="B53" t="s">
        <v>27</v>
      </c>
      <c r="C53" t="s">
        <v>140</v>
      </c>
      <c r="D53" t="s">
        <v>141</v>
      </c>
      <c r="E53" t="s">
        <v>142</v>
      </c>
      <c r="F53">
        <v>2190</v>
      </c>
      <c r="G53" t="s">
        <v>142</v>
      </c>
      <c r="H53">
        <v>2190</v>
      </c>
    </row>
    <row r="54">
      <c r="A54" t="s">
        <v>26</v>
      </c>
      <c r="B54" t="s">
        <v>27</v>
      </c>
      <c r="C54" t="s">
        <v>143</v>
      </c>
      <c r="D54" t="s">
        <v>144</v>
      </c>
      <c r="E54" t="s">
        <v>145</v>
      </c>
      <c r="F54">
        <v>0.35</v>
      </c>
      <c r="G54" t="s">
        <v>145</v>
      </c>
      <c r="H54">
        <v>0.35</v>
      </c>
    </row>
    <row r="55">
      <c r="A55" t="s">
        <v>26</v>
      </c>
      <c r="B55" t="s">
        <v>27</v>
      </c>
      <c r="C55" t="s">
        <v>87</v>
      </c>
      <c r="D55" t="s">
        <v>146</v>
      </c>
      <c r="E55" t="s">
        <v>251</v>
      </c>
      <c r="F55">
        <v>28000</v>
      </c>
      <c r="G55" t="s">
        <v>252</v>
      </c>
      <c r="H55">
        <v>56000</v>
      </c>
    </row>
    <row r="56">
      <c r="A56" t="s">
        <v>26</v>
      </c>
      <c r="B56" t="s">
        <v>27</v>
      </c>
      <c r="C56" t="s">
        <v>88</v>
      </c>
      <c r="D56" t="s">
        <v>149</v>
      </c>
      <c r="E56" t="s">
        <v>253</v>
      </c>
      <c r="F56">
        <v>1680000</v>
      </c>
      <c r="G56" t="s">
        <v>254</v>
      </c>
      <c r="H56">
        <v>3360000</v>
      </c>
    </row>
    <row r="57">
      <c r="A57" t="s">
        <v>26</v>
      </c>
      <c r="B57" t="s">
        <v>27</v>
      </c>
      <c r="C57" t="s">
        <v>89</v>
      </c>
      <c r="D57" t="s">
        <v>152</v>
      </c>
      <c r="E57" t="s">
        <v>255</v>
      </c>
      <c r="F57">
        <v>3120000</v>
      </c>
      <c r="G57" t="s">
        <v>256</v>
      </c>
      <c r="H57">
        <v>6240000</v>
      </c>
    </row>
    <row r="58">
      <c r="A58" t="s">
        <v>26</v>
      </c>
      <c r="B58" t="s">
        <v>27</v>
      </c>
      <c r="C58" t="s">
        <v>155</v>
      </c>
      <c r="D58" t="s">
        <v>156</v>
      </c>
      <c r="E58" t="s">
        <v>257</v>
      </c>
      <c r="F58">
        <v>12.785388127853881</v>
      </c>
      <c r="G58" t="s">
        <v>258</v>
      </c>
      <c r="H58">
        <v>25.570776255707763</v>
      </c>
    </row>
    <row r="59">
      <c r="A59" t="s">
        <v>26</v>
      </c>
      <c r="B59" t="s">
        <v>27</v>
      </c>
      <c r="C59" t="s">
        <v>159</v>
      </c>
      <c r="D59" t="s">
        <v>160</v>
      </c>
      <c r="E59" t="s">
        <v>259</v>
      </c>
      <c r="F59">
        <v>13</v>
      </c>
      <c r="G59" t="s">
        <v>260</v>
      </c>
      <c r="H59">
        <v>26</v>
      </c>
    </row>
    <row r="60">
      <c r="A60" t="s">
        <v>26</v>
      </c>
      <c r="B60" t="s">
        <v>27</v>
      </c>
      <c r="C60" t="s">
        <v>163</v>
      </c>
      <c r="D60" t="s">
        <v>164</v>
      </c>
      <c r="E60" t="s">
        <v>261</v>
      </c>
      <c r="F60">
        <v>2.6</v>
      </c>
      <c r="G60" t="s">
        <v>262</v>
      </c>
      <c r="H60">
        <v>3.7142857142857144</v>
      </c>
    </row>
    <row r="61">
      <c r="A61" t="s">
        <v>26</v>
      </c>
      <c r="B61" t="s">
        <v>27</v>
      </c>
      <c r="C61" t="s">
        <v>167</v>
      </c>
      <c r="D61" t="s">
        <v>168</v>
      </c>
      <c r="E61" t="s">
        <v>263</v>
      </c>
      <c r="F61">
        <v>3</v>
      </c>
      <c r="G61" t="s">
        <v>264</v>
      </c>
      <c r="H61">
        <v>4</v>
      </c>
    </row>
    <row r="62">
      <c r="A62" t="s">
        <v>26</v>
      </c>
      <c r="B62" t="s">
        <v>27</v>
      </c>
      <c r="C62" t="s">
        <v>171</v>
      </c>
      <c r="D62" t="s">
        <v>172</v>
      </c>
      <c r="E62" t="s">
        <v>265</v>
      </c>
      <c r="F62">
        <v>976000</v>
      </c>
      <c r="G62" t="s">
        <v>266</v>
      </c>
      <c r="H62">
        <v>1752000</v>
      </c>
    </row>
    <row r="63">
      <c r="A63" t="s">
        <v>26</v>
      </c>
      <c r="B63" t="s">
        <v>27</v>
      </c>
      <c r="C63" t="s">
        <v>95</v>
      </c>
      <c r="D63" t="s">
        <v>175</v>
      </c>
      <c r="E63" t="s">
        <v>267</v>
      </c>
      <c r="F63">
        <v>704000</v>
      </c>
      <c r="G63" t="s">
        <v>268</v>
      </c>
      <c r="H63">
        <v>1608000</v>
      </c>
    </row>
    <row r="64">
      <c r="A64" t="s">
        <v>26</v>
      </c>
      <c r="B64" t="s">
        <v>27</v>
      </c>
      <c r="C64" t="s">
        <v>178</v>
      </c>
      <c r="D64" t="s">
        <v>179</v>
      </c>
      <c r="E64" t="s">
        <v>269</v>
      </c>
      <c r="F64">
        <v>0.580952380952381</v>
      </c>
      <c r="G64" t="s">
        <v>270</v>
      </c>
      <c r="H64">
        <v>0.5214285714285715</v>
      </c>
    </row>
    <row r="65">
      <c r="A65" t="s">
        <v>26</v>
      </c>
      <c r="B65" t="s">
        <v>27</v>
      </c>
      <c r="C65" t="s">
        <v>182</v>
      </c>
      <c r="D65" t="s">
        <v>183</v>
      </c>
      <c r="E65" t="s">
        <v>271</v>
      </c>
      <c r="F65">
        <v>0.7213114754098361</v>
      </c>
      <c r="G65" t="s">
        <v>272</v>
      </c>
      <c r="H65">
        <v>0.9178082191780822</v>
      </c>
    </row>
    <row r="66">
      <c r="A66" t="s">
        <v>26</v>
      </c>
      <c r="B66" t="s">
        <v>27</v>
      </c>
      <c r="C66" t="s">
        <v>186</v>
      </c>
      <c r="D66" t="s">
        <v>187</v>
      </c>
      <c r="E66" t="s">
        <v>273</v>
      </c>
      <c r="F66">
        <v>19.602272727272727</v>
      </c>
      <c r="G66" t="s">
        <v>274</v>
      </c>
      <c r="H66">
        <v>15.85820895522388</v>
      </c>
    </row>
    <row r="67">
      <c r="A67" t="s">
        <v>26</v>
      </c>
      <c r="B67" t="s">
        <v>27</v>
      </c>
      <c r="C67" t="s">
        <v>190</v>
      </c>
      <c r="D67" t="s">
        <v>191</v>
      </c>
      <c r="E67" t="s">
        <v>275</v>
      </c>
      <c r="F67">
        <v>4096000</v>
      </c>
      <c r="G67" t="s">
        <v>276</v>
      </c>
      <c r="H67">
        <v>7992000</v>
      </c>
    </row>
    <row r="68">
      <c r="A68" t="s">
        <v>26</v>
      </c>
      <c r="B68" t="s">
        <v>27</v>
      </c>
      <c r="C68" t="s">
        <v>98</v>
      </c>
      <c r="D68" t="s">
        <v>194</v>
      </c>
      <c r="E68" t="s">
        <v>277</v>
      </c>
      <c r="F68">
        <v>0.8533333333333334</v>
      </c>
      <c r="G68" t="s">
        <v>278</v>
      </c>
      <c r="H68">
        <v>0.8325</v>
      </c>
    </row>
    <row r="69">
      <c r="A69" t="s">
        <v>26</v>
      </c>
      <c r="B69" t="s">
        <v>27</v>
      </c>
      <c r="C69" t="s">
        <v>99</v>
      </c>
      <c r="D69" t="s">
        <v>197</v>
      </c>
      <c r="E69" t="s">
        <v>279</v>
      </c>
      <c r="F69">
        <v>1150000</v>
      </c>
      <c r="G69" t="s">
        <v>280</v>
      </c>
      <c r="H69">
        <v>2125000</v>
      </c>
    </row>
    <row r="70">
      <c r="A70" t="s">
        <v>26</v>
      </c>
      <c r="B70" t="s">
        <v>27</v>
      </c>
      <c r="C70" t="s">
        <v>101</v>
      </c>
      <c r="D70" t="s">
        <v>200</v>
      </c>
      <c r="E70" t="s">
        <v>281</v>
      </c>
      <c r="F70">
        <v>4.38</v>
      </c>
      <c r="G70" t="s">
        <v>281</v>
      </c>
      <c r="H70">
        <v>4.38</v>
      </c>
    </row>
    <row r="71">
      <c r="A71" t="s">
        <v>26</v>
      </c>
      <c r="B71" t="s">
        <v>27</v>
      </c>
      <c r="C71" t="s">
        <v>202</v>
      </c>
      <c r="D71" t="s">
        <v>203</v>
      </c>
      <c r="E71" t="s">
        <v>243</v>
      </c>
      <c r="F71">
        <v>2</v>
      </c>
      <c r="G71" t="s">
        <v>282</v>
      </c>
      <c r="H71">
        <v>2</v>
      </c>
    </row>
    <row r="72">
      <c r="A72" t="s">
        <v>26</v>
      </c>
      <c r="B72" t="s">
        <v>27</v>
      </c>
      <c r="C72" t="s">
        <v>206</v>
      </c>
      <c r="D72" t="s">
        <v>207</v>
      </c>
      <c r="E72" t="s">
        <v>283</v>
      </c>
      <c r="F72">
        <v>0.4066666666666667</v>
      </c>
      <c r="G72" t="s">
        <v>284</v>
      </c>
      <c r="H72">
        <v>0.365</v>
      </c>
    </row>
    <row r="73">
      <c r="A73" t="s">
        <v>26</v>
      </c>
      <c r="B73" t="s">
        <v>27</v>
      </c>
      <c r="C73" t="s">
        <v>210</v>
      </c>
      <c r="D73" t="s">
        <v>211</v>
      </c>
      <c r="E73" t="s">
        <v>285</v>
      </c>
      <c r="F73">
        <v>0.29333333333333333</v>
      </c>
      <c r="G73" t="s">
        <v>286</v>
      </c>
      <c r="H73">
        <v>0.335</v>
      </c>
    </row>
    <row r="74">
      <c r="A74" t="s">
        <v>26</v>
      </c>
      <c r="B74" t="s">
        <v>27</v>
      </c>
      <c r="C74" t="s">
        <v>214</v>
      </c>
    </row>
    <row r="75">
      <c r="A75" t="s">
        <v>26</v>
      </c>
      <c r="B75" t="s">
        <v>27</v>
      </c>
      <c r="C75" t="s">
        <v>215</v>
      </c>
      <c r="D75" t="s">
        <v>216</v>
      </c>
      <c r="E75" t="s">
        <v>217</v>
      </c>
      <c r="F75">
        <v>24</v>
      </c>
    </row>
    <row r="76">
      <c r="A76" t="s">
        <v>26</v>
      </c>
      <c r="B76" t="s">
        <v>27</v>
      </c>
      <c r="C76" t="s">
        <v>218</v>
      </c>
      <c r="D76" t="s">
        <v>216</v>
      </c>
      <c r="E76" t="s">
        <v>219</v>
      </c>
      <c r="F76">
        <v>365</v>
      </c>
    </row>
    <row r="77">
      <c r="A77" t="s">
        <v>26</v>
      </c>
      <c r="B77" t="s">
        <v>27</v>
      </c>
      <c r="C77" t="s">
        <v>220</v>
      </c>
      <c r="D77" t="s">
        <v>216</v>
      </c>
      <c r="E77" t="s">
        <v>221</v>
      </c>
      <c r="F77">
        <v>1</v>
      </c>
    </row>
    <row r="78">
      <c r="A78" t="s">
        <v>26</v>
      </c>
      <c r="B78" t="s">
        <v>27</v>
      </c>
      <c r="C78" t="s">
        <v>222</v>
      </c>
      <c r="D78" t="s">
        <v>223</v>
      </c>
      <c r="E78" t="s">
        <v>224</v>
      </c>
      <c r="F78">
        <v>52000</v>
      </c>
    </row>
    <row r="79">
      <c r="A79" t="s">
        <v>26</v>
      </c>
      <c r="B79" t="s">
        <v>27</v>
      </c>
      <c r="C79" t="s">
        <v>225</v>
      </c>
      <c r="D79" t="s">
        <v>223</v>
      </c>
      <c r="E79" t="s">
        <v>226</v>
      </c>
      <c r="F79">
        <v>100000</v>
      </c>
    </row>
    <row r="80">
      <c r="A80" t="s">
        <v>26</v>
      </c>
      <c r="B80" t="s">
        <v>27</v>
      </c>
      <c r="C80" t="s">
        <v>227</v>
      </c>
      <c r="D80" t="s">
        <v>216</v>
      </c>
      <c r="E80" t="s">
        <v>228</v>
      </c>
      <c r="F80">
        <v>5</v>
      </c>
    </row>
    <row r="81">
      <c r="A81" t="s">
        <v>26</v>
      </c>
      <c r="B81" t="s">
        <v>27</v>
      </c>
      <c r="C81" t="s">
        <v>229</v>
      </c>
      <c r="D81" t="s">
        <v>216</v>
      </c>
      <c r="E81" t="s">
        <v>230</v>
      </c>
      <c r="F81">
        <v>7</v>
      </c>
    </row>
    <row r="82">
      <c r="A82" t="s">
        <v>26</v>
      </c>
      <c r="B82" t="s">
        <v>27</v>
      </c>
      <c r="C82" t="s">
        <v>231</v>
      </c>
      <c r="D82" t="s">
        <v>223</v>
      </c>
      <c r="E82" t="s">
        <v>232</v>
      </c>
      <c r="F82">
        <v>175000</v>
      </c>
    </row>
    <row r="83">
      <c r="A83" t="s">
        <v>26</v>
      </c>
      <c r="B83" t="s">
        <v>27</v>
      </c>
      <c r="C83" t="s">
        <v>233</v>
      </c>
      <c r="D83" t="s">
        <v>223</v>
      </c>
      <c r="E83" t="s">
        <v>234</v>
      </c>
      <c r="F83">
        <v>75000</v>
      </c>
    </row>
    <row r="84">
      <c r="A84" t="s">
        <v>26</v>
      </c>
      <c r="B84" t="s">
        <v>27</v>
      </c>
      <c r="C84" t="s">
        <v>235</v>
      </c>
      <c r="D84" t="s">
        <v>216</v>
      </c>
      <c r="E84" t="s">
        <v>236</v>
      </c>
      <c r="F84">
        <v>0.25</v>
      </c>
    </row>
    <row r="85">
      <c r="A85" t="s">
        <v>26</v>
      </c>
      <c r="B85" t="s">
        <v>27</v>
      </c>
      <c r="C85" t="s">
        <v>237</v>
      </c>
      <c r="D85" t="s">
        <v>216</v>
      </c>
      <c r="E85" t="s">
        <v>238</v>
      </c>
      <c r="F85">
        <v>0.35</v>
      </c>
    </row>
    <row r="86">
      <c r="A86" t="s">
        <v>26</v>
      </c>
      <c r="B86" t="s">
        <v>27</v>
      </c>
      <c r="C86" t="s">
        <v>239</v>
      </c>
      <c r="D86" t="s">
        <v>216</v>
      </c>
      <c r="E86" t="s">
        <v>240</v>
      </c>
    </row>
    <row r="88">
      <c r="A88" t="s">
        <v>32</v>
      </c>
      <c r="B88" t="s">
        <v>33</v>
      </c>
      <c r="C88" t="s">
        <v>113</v>
      </c>
      <c r="D88" t="s">
        <v>114</v>
      </c>
      <c r="E88" t="s">
        <v>287</v>
      </c>
      <c r="F88">
        <v>9200000</v>
      </c>
      <c r="G88" t="s">
        <v>288</v>
      </c>
      <c r="H88">
        <v>18000000</v>
      </c>
    </row>
    <row r="89">
      <c r="A89" t="s">
        <v>32</v>
      </c>
      <c r="B89" t="s">
        <v>33</v>
      </c>
      <c r="C89" t="s">
        <v>77</v>
      </c>
      <c r="D89" t="s">
        <v>117</v>
      </c>
      <c r="E89" t="s">
        <v>118</v>
      </c>
      <c r="F89">
        <v>1</v>
      </c>
      <c r="G89" t="s">
        <v>289</v>
      </c>
      <c r="H89">
        <v>1.9565217391304348</v>
      </c>
    </row>
    <row r="90">
      <c r="A90" t="s">
        <v>32</v>
      </c>
      <c r="B90" t="s">
        <v>33</v>
      </c>
      <c r="C90" t="s">
        <v>79</v>
      </c>
      <c r="D90" t="s">
        <v>120</v>
      </c>
      <c r="E90" t="s">
        <v>290</v>
      </c>
      <c r="F90">
        <v>140</v>
      </c>
      <c r="G90" t="s">
        <v>291</v>
      </c>
      <c r="H90">
        <v>273.9130434782609</v>
      </c>
    </row>
    <row r="91">
      <c r="A91" t="s">
        <v>32</v>
      </c>
      <c r="B91" t="s">
        <v>33</v>
      </c>
      <c r="C91" t="s">
        <v>123</v>
      </c>
      <c r="D91" t="s">
        <v>124</v>
      </c>
      <c r="E91" t="s">
        <v>292</v>
      </c>
      <c r="F91">
        <v>350000</v>
      </c>
      <c r="G91" t="s">
        <v>293</v>
      </c>
      <c r="H91">
        <v>684782.6086956522</v>
      </c>
    </row>
    <row r="92">
      <c r="A92" t="s">
        <v>32</v>
      </c>
      <c r="B92" t="s">
        <v>33</v>
      </c>
      <c r="C92" t="s">
        <v>127</v>
      </c>
      <c r="D92" t="s">
        <v>128</v>
      </c>
      <c r="E92" t="s">
        <v>294</v>
      </c>
      <c r="F92">
        <v>20300000</v>
      </c>
      <c r="G92" t="s">
        <v>295</v>
      </c>
      <c r="H92">
        <v>39717391.30434783</v>
      </c>
    </row>
    <row r="93">
      <c r="A93" t="s">
        <v>32</v>
      </c>
      <c r="B93" t="s">
        <v>33</v>
      </c>
      <c r="C93" t="s">
        <v>131</v>
      </c>
      <c r="D93" t="s">
        <v>132</v>
      </c>
      <c r="E93" t="s">
        <v>296</v>
      </c>
      <c r="F93">
        <v>58</v>
      </c>
      <c r="G93" t="s">
        <v>296</v>
      </c>
      <c r="H93">
        <v>58</v>
      </c>
    </row>
    <row r="94">
      <c r="A94" t="s">
        <v>32</v>
      </c>
      <c r="B94" t="s">
        <v>33</v>
      </c>
      <c r="C94" t="s">
        <v>134</v>
      </c>
      <c r="D94" t="s">
        <v>135</v>
      </c>
      <c r="E94" t="s">
        <v>136</v>
      </c>
      <c r="F94">
        <v>8760</v>
      </c>
      <c r="G94" t="s">
        <v>136</v>
      </c>
      <c r="H94">
        <v>8760</v>
      </c>
    </row>
    <row r="95">
      <c r="A95" t="s">
        <v>32</v>
      </c>
      <c r="B95" t="s">
        <v>33</v>
      </c>
      <c r="C95" t="s">
        <v>137</v>
      </c>
      <c r="D95" t="s">
        <v>138</v>
      </c>
      <c r="E95" t="s">
        <v>139</v>
      </c>
      <c r="F95">
        <v>0.25</v>
      </c>
      <c r="G95" t="s">
        <v>139</v>
      </c>
      <c r="H95">
        <v>0.25</v>
      </c>
    </row>
    <row r="96">
      <c r="A96" t="s">
        <v>32</v>
      </c>
      <c r="B96" t="s">
        <v>33</v>
      </c>
      <c r="C96" t="s">
        <v>140</v>
      </c>
      <c r="D96" t="s">
        <v>141</v>
      </c>
      <c r="E96" t="s">
        <v>142</v>
      </c>
      <c r="F96">
        <v>2190</v>
      </c>
      <c r="G96" t="s">
        <v>142</v>
      </c>
      <c r="H96">
        <v>2190</v>
      </c>
    </row>
    <row r="97">
      <c r="A97" t="s">
        <v>32</v>
      </c>
      <c r="B97" t="s">
        <v>33</v>
      </c>
      <c r="C97" t="s">
        <v>143</v>
      </c>
      <c r="D97" t="s">
        <v>144</v>
      </c>
      <c r="E97" t="s">
        <v>145</v>
      </c>
      <c r="F97">
        <v>0.35</v>
      </c>
      <c r="G97" t="s">
        <v>145</v>
      </c>
      <c r="H97">
        <v>0.35</v>
      </c>
    </row>
    <row r="98">
      <c r="A98" t="s">
        <v>32</v>
      </c>
      <c r="B98" t="s">
        <v>33</v>
      </c>
      <c r="C98" t="s">
        <v>87</v>
      </c>
      <c r="D98" t="s">
        <v>146</v>
      </c>
      <c r="E98" t="s">
        <v>297</v>
      </c>
      <c r="F98">
        <v>122499.99999999999</v>
      </c>
      <c r="G98" t="s">
        <v>298</v>
      </c>
      <c r="H98">
        <v>239673.91304347827</v>
      </c>
    </row>
    <row r="99">
      <c r="A99" t="s">
        <v>32</v>
      </c>
      <c r="B99" t="s">
        <v>33</v>
      </c>
      <c r="C99" t="s">
        <v>88</v>
      </c>
      <c r="D99" t="s">
        <v>149</v>
      </c>
      <c r="E99" t="s">
        <v>299</v>
      </c>
      <c r="F99">
        <v>7105000</v>
      </c>
      <c r="G99" t="s">
        <v>300</v>
      </c>
      <c r="H99">
        <v>13901086.956521738</v>
      </c>
    </row>
    <row r="100">
      <c r="A100" t="s">
        <v>32</v>
      </c>
      <c r="B100" t="s">
        <v>33</v>
      </c>
      <c r="C100" t="s">
        <v>89</v>
      </c>
      <c r="D100" t="s">
        <v>152</v>
      </c>
      <c r="E100" t="s">
        <v>301</v>
      </c>
      <c r="F100">
        <v>13195000</v>
      </c>
      <c r="G100" t="s">
        <v>302</v>
      </c>
      <c r="H100">
        <v>25816304.34782609</v>
      </c>
    </row>
    <row r="101">
      <c r="A101" t="s">
        <v>32</v>
      </c>
      <c r="B101" t="s">
        <v>33</v>
      </c>
      <c r="C101" t="s">
        <v>155</v>
      </c>
      <c r="D101" t="s">
        <v>156</v>
      </c>
      <c r="E101" t="s">
        <v>303</v>
      </c>
      <c r="F101">
        <v>55.93607305936072</v>
      </c>
      <c r="G101" t="s">
        <v>304</v>
      </c>
      <c r="H101">
        <v>109.44014294222752</v>
      </c>
    </row>
    <row r="102">
      <c r="A102" t="s">
        <v>32</v>
      </c>
      <c r="B102" t="s">
        <v>33</v>
      </c>
      <c r="C102" t="s">
        <v>159</v>
      </c>
      <c r="D102" t="s">
        <v>160</v>
      </c>
      <c r="E102" t="s">
        <v>305</v>
      </c>
      <c r="F102">
        <v>56</v>
      </c>
      <c r="G102" t="s">
        <v>306</v>
      </c>
      <c r="H102">
        <v>110</v>
      </c>
    </row>
    <row r="103">
      <c r="A103" t="s">
        <v>32</v>
      </c>
      <c r="B103" t="s">
        <v>33</v>
      </c>
      <c r="C103" t="s">
        <v>163</v>
      </c>
      <c r="D103" t="s">
        <v>164</v>
      </c>
      <c r="E103" t="s">
        <v>307</v>
      </c>
      <c r="F103">
        <v>11.2</v>
      </c>
      <c r="G103" t="s">
        <v>308</v>
      </c>
      <c r="H103">
        <v>15.714285714285714</v>
      </c>
    </row>
    <row r="104">
      <c r="A104" t="s">
        <v>32</v>
      </c>
      <c r="B104" t="s">
        <v>33</v>
      </c>
      <c r="C104" t="s">
        <v>167</v>
      </c>
      <c r="D104" t="s">
        <v>168</v>
      </c>
      <c r="E104" t="s">
        <v>309</v>
      </c>
      <c r="F104">
        <v>12</v>
      </c>
      <c r="G104" t="s">
        <v>310</v>
      </c>
      <c r="H104">
        <v>16</v>
      </c>
    </row>
    <row r="105">
      <c r="A105" t="s">
        <v>32</v>
      </c>
      <c r="B105" t="s">
        <v>33</v>
      </c>
      <c r="C105" t="s">
        <v>171</v>
      </c>
      <c r="D105" t="s">
        <v>172</v>
      </c>
      <c r="E105" t="s">
        <v>311</v>
      </c>
      <c r="F105">
        <v>4112000</v>
      </c>
      <c r="G105" t="s">
        <v>312</v>
      </c>
      <c r="H105">
        <v>7320000</v>
      </c>
    </row>
    <row r="106">
      <c r="A106" t="s">
        <v>32</v>
      </c>
      <c r="B106" t="s">
        <v>33</v>
      </c>
      <c r="C106" t="s">
        <v>95</v>
      </c>
      <c r="D106" t="s">
        <v>175</v>
      </c>
      <c r="E106" t="s">
        <v>313</v>
      </c>
      <c r="F106">
        <v>2993000</v>
      </c>
      <c r="G106" t="s">
        <v>314</v>
      </c>
      <c r="H106">
        <v>6581086.956521738</v>
      </c>
    </row>
    <row r="107">
      <c r="A107" t="s">
        <v>32</v>
      </c>
      <c r="B107" t="s">
        <v>33</v>
      </c>
      <c r="C107" t="s">
        <v>178</v>
      </c>
      <c r="D107" t="s">
        <v>179</v>
      </c>
      <c r="E107" t="s">
        <v>315</v>
      </c>
      <c r="F107">
        <v>0.5787473610133709</v>
      </c>
      <c r="G107" t="s">
        <v>316</v>
      </c>
      <c r="H107">
        <v>0.5265775275627492</v>
      </c>
    </row>
    <row r="108">
      <c r="A108" t="s">
        <v>32</v>
      </c>
      <c r="B108" t="s">
        <v>33</v>
      </c>
      <c r="C108" t="s">
        <v>182</v>
      </c>
      <c r="D108" t="s">
        <v>183</v>
      </c>
      <c r="E108" t="s">
        <v>317</v>
      </c>
      <c r="F108">
        <v>0.7278696498054474</v>
      </c>
      <c r="G108" t="s">
        <v>318</v>
      </c>
      <c r="H108">
        <v>0.899055595153243</v>
      </c>
    </row>
    <row r="109">
      <c r="A109" t="s">
        <v>32</v>
      </c>
      <c r="B109" t="s">
        <v>33</v>
      </c>
      <c r="C109" t="s">
        <v>186</v>
      </c>
      <c r="D109" t="s">
        <v>187</v>
      </c>
      <c r="E109" t="s">
        <v>319</v>
      </c>
      <c r="F109">
        <v>17.540928833945873</v>
      </c>
      <c r="G109" t="s">
        <v>320</v>
      </c>
      <c r="H109">
        <v>15.362203944108614</v>
      </c>
    </row>
    <row r="110">
      <c r="A110" t="s">
        <v>32</v>
      </c>
      <c r="B110" t="s">
        <v>33</v>
      </c>
      <c r="C110" t="s">
        <v>190</v>
      </c>
      <c r="D110" t="s">
        <v>191</v>
      </c>
      <c r="E110" t="s">
        <v>321</v>
      </c>
      <c r="F110">
        <v>17307000</v>
      </c>
      <c r="G110" t="s">
        <v>322</v>
      </c>
      <c r="H110">
        <v>33136304.34782609</v>
      </c>
    </row>
    <row r="111">
      <c r="A111" t="s">
        <v>32</v>
      </c>
      <c r="B111" t="s">
        <v>33</v>
      </c>
      <c r="C111" t="s">
        <v>98</v>
      </c>
      <c r="D111" t="s">
        <v>194</v>
      </c>
      <c r="E111" t="s">
        <v>323</v>
      </c>
      <c r="F111">
        <v>0.8525615763546798</v>
      </c>
      <c r="G111" t="s">
        <v>324</v>
      </c>
      <c r="H111">
        <v>0.8343021346469622</v>
      </c>
    </row>
    <row r="112">
      <c r="A112" t="s">
        <v>32</v>
      </c>
      <c r="B112" t="s">
        <v>33</v>
      </c>
      <c r="C112" t="s">
        <v>99</v>
      </c>
      <c r="D112" t="s">
        <v>197</v>
      </c>
      <c r="E112" t="s">
        <v>325</v>
      </c>
      <c r="F112">
        <v>4375000</v>
      </c>
      <c r="G112" t="s">
        <v>326</v>
      </c>
      <c r="H112">
        <v>8425000</v>
      </c>
    </row>
    <row r="113">
      <c r="A113" t="s">
        <v>32</v>
      </c>
      <c r="B113" t="s">
        <v>33</v>
      </c>
      <c r="C113" t="s">
        <v>101</v>
      </c>
      <c r="D113" t="s">
        <v>200</v>
      </c>
      <c r="E113" t="s">
        <v>327</v>
      </c>
      <c r="F113">
        <v>3.504</v>
      </c>
      <c r="G113" t="s">
        <v>327</v>
      </c>
      <c r="H113">
        <v>3.504</v>
      </c>
    </row>
    <row r="114">
      <c r="A114" t="s">
        <v>32</v>
      </c>
      <c r="B114" t="s">
        <v>33</v>
      </c>
      <c r="C114" t="s">
        <v>202</v>
      </c>
      <c r="D114" t="s">
        <v>203</v>
      </c>
      <c r="E114" t="s">
        <v>328</v>
      </c>
      <c r="F114">
        <v>2.2065217391304346</v>
      </c>
      <c r="G114" t="s">
        <v>329</v>
      </c>
      <c r="H114">
        <v>2.206521739130435</v>
      </c>
    </row>
    <row r="115">
      <c r="A115" t="s">
        <v>32</v>
      </c>
      <c r="B115" t="s">
        <v>33</v>
      </c>
      <c r="C115" t="s">
        <v>206</v>
      </c>
      <c r="D115" t="s">
        <v>207</v>
      </c>
      <c r="E115" t="s">
        <v>330</v>
      </c>
      <c r="F115">
        <v>0.4469565217391304</v>
      </c>
      <c r="G115" t="s">
        <v>331</v>
      </c>
      <c r="H115">
        <v>0.4066666666666667</v>
      </c>
    </row>
    <row r="116">
      <c r="A116" t="s">
        <v>32</v>
      </c>
      <c r="B116" t="s">
        <v>33</v>
      </c>
      <c r="C116" t="s">
        <v>210</v>
      </c>
      <c r="D116" t="s">
        <v>211</v>
      </c>
      <c r="E116" t="s">
        <v>332</v>
      </c>
      <c r="F116">
        <v>0.32532608695652177</v>
      </c>
      <c r="G116" t="s">
        <v>333</v>
      </c>
      <c r="H116">
        <v>0.36561594202898545</v>
      </c>
    </row>
    <row r="117">
      <c r="A117" t="s">
        <v>32</v>
      </c>
      <c r="B117" t="s">
        <v>33</v>
      </c>
      <c r="C117" t="s">
        <v>214</v>
      </c>
    </row>
    <row r="118">
      <c r="A118" t="s">
        <v>32</v>
      </c>
      <c r="B118" t="s">
        <v>33</v>
      </c>
      <c r="C118" t="s">
        <v>215</v>
      </c>
      <c r="D118" t="s">
        <v>216</v>
      </c>
      <c r="E118" t="s">
        <v>217</v>
      </c>
      <c r="F118">
        <v>24</v>
      </c>
    </row>
    <row r="119">
      <c r="A119" t="s">
        <v>32</v>
      </c>
      <c r="B119" t="s">
        <v>33</v>
      </c>
      <c r="C119" t="s">
        <v>218</v>
      </c>
      <c r="D119" t="s">
        <v>216</v>
      </c>
      <c r="E119" t="s">
        <v>219</v>
      </c>
      <c r="F119">
        <v>365</v>
      </c>
    </row>
    <row r="120">
      <c r="A120" t="s">
        <v>32</v>
      </c>
      <c r="B120" t="s">
        <v>33</v>
      </c>
      <c r="C120" t="s">
        <v>220</v>
      </c>
      <c r="D120" t="s">
        <v>216</v>
      </c>
      <c r="E120" t="s">
        <v>221</v>
      </c>
      <c r="F120">
        <v>1</v>
      </c>
    </row>
    <row r="121">
      <c r="A121" t="s">
        <v>32</v>
      </c>
      <c r="B121" t="s">
        <v>33</v>
      </c>
      <c r="C121" t="s">
        <v>222</v>
      </c>
      <c r="D121" t="s">
        <v>223</v>
      </c>
      <c r="E121" t="s">
        <v>224</v>
      </c>
      <c r="F121">
        <v>52000</v>
      </c>
    </row>
    <row r="122">
      <c r="A122" t="s">
        <v>32</v>
      </c>
      <c r="B122" t="s">
        <v>33</v>
      </c>
      <c r="C122" t="s">
        <v>225</v>
      </c>
      <c r="D122" t="s">
        <v>223</v>
      </c>
      <c r="E122" t="s">
        <v>226</v>
      </c>
      <c r="F122">
        <v>100000</v>
      </c>
    </row>
    <row r="123">
      <c r="A123" t="s">
        <v>32</v>
      </c>
      <c r="B123" t="s">
        <v>33</v>
      </c>
      <c r="C123" t="s">
        <v>227</v>
      </c>
      <c r="D123" t="s">
        <v>216</v>
      </c>
      <c r="E123" t="s">
        <v>228</v>
      </c>
      <c r="F123">
        <v>5</v>
      </c>
    </row>
    <row r="124">
      <c r="A124" t="s">
        <v>32</v>
      </c>
      <c r="B124" t="s">
        <v>33</v>
      </c>
      <c r="C124" t="s">
        <v>229</v>
      </c>
      <c r="D124" t="s">
        <v>216</v>
      </c>
      <c r="E124" t="s">
        <v>230</v>
      </c>
      <c r="F124">
        <v>7</v>
      </c>
    </row>
    <row r="125">
      <c r="A125" t="s">
        <v>32</v>
      </c>
      <c r="B125" t="s">
        <v>33</v>
      </c>
      <c r="C125" t="s">
        <v>231</v>
      </c>
      <c r="D125" t="s">
        <v>223</v>
      </c>
      <c r="E125" t="s">
        <v>232</v>
      </c>
      <c r="F125">
        <v>175000</v>
      </c>
    </row>
    <row r="126">
      <c r="A126" t="s">
        <v>32</v>
      </c>
      <c r="B126" t="s">
        <v>33</v>
      </c>
      <c r="C126" t="s">
        <v>233</v>
      </c>
      <c r="D126" t="s">
        <v>223</v>
      </c>
      <c r="E126" t="s">
        <v>234</v>
      </c>
      <c r="F126">
        <v>75000</v>
      </c>
    </row>
    <row r="127">
      <c r="A127" t="s">
        <v>32</v>
      </c>
      <c r="B127" t="s">
        <v>33</v>
      </c>
      <c r="C127" t="s">
        <v>235</v>
      </c>
      <c r="D127" t="s">
        <v>216</v>
      </c>
      <c r="E127" t="s">
        <v>236</v>
      </c>
      <c r="F127">
        <v>0.25</v>
      </c>
    </row>
    <row r="128">
      <c r="A128" t="s">
        <v>32</v>
      </c>
      <c r="B128" t="s">
        <v>33</v>
      </c>
      <c r="C128" t="s">
        <v>237</v>
      </c>
      <c r="D128" t="s">
        <v>216</v>
      </c>
      <c r="E128" t="s">
        <v>238</v>
      </c>
      <c r="F128">
        <v>0.35</v>
      </c>
    </row>
    <row r="129">
      <c r="A129" t="s">
        <v>32</v>
      </c>
      <c r="B129" t="s">
        <v>33</v>
      </c>
      <c r="C129" t="s">
        <v>239</v>
      </c>
      <c r="D129" t="s">
        <v>216</v>
      </c>
      <c r="E129" t="s">
        <v>240</v>
      </c>
    </row>
    <row r="131">
      <c r="A131" t="s">
        <v>36</v>
      </c>
      <c r="B131" t="s">
        <v>37</v>
      </c>
      <c r="C131" t="s">
        <v>113</v>
      </c>
      <c r="D131" t="s">
        <v>114</v>
      </c>
      <c r="E131" t="s">
        <v>334</v>
      </c>
      <c r="F131">
        <v>3100000</v>
      </c>
      <c r="G131" t="s">
        <v>335</v>
      </c>
      <c r="H131">
        <v>5400000</v>
      </c>
    </row>
    <row r="132">
      <c r="A132" t="s">
        <v>36</v>
      </c>
      <c r="B132" t="s">
        <v>37</v>
      </c>
      <c r="C132" t="s">
        <v>77</v>
      </c>
      <c r="D132" t="s">
        <v>117</v>
      </c>
      <c r="E132" t="s">
        <v>118</v>
      </c>
      <c r="F132">
        <v>1</v>
      </c>
      <c r="G132" t="s">
        <v>336</v>
      </c>
      <c r="H132">
        <v>1.7419354838709677</v>
      </c>
    </row>
    <row r="133">
      <c r="A133" t="s">
        <v>36</v>
      </c>
      <c r="B133" t="s">
        <v>37</v>
      </c>
      <c r="C133" t="s">
        <v>79</v>
      </c>
      <c r="D133" t="s">
        <v>120</v>
      </c>
      <c r="E133" t="s">
        <v>337</v>
      </c>
      <c r="F133">
        <v>52</v>
      </c>
      <c r="G133" t="s">
        <v>338</v>
      </c>
      <c r="H133">
        <v>90.58064516129032</v>
      </c>
    </row>
    <row r="134">
      <c r="A134" t="s">
        <v>36</v>
      </c>
      <c r="B134" t="s">
        <v>37</v>
      </c>
      <c r="C134" t="s">
        <v>123</v>
      </c>
      <c r="D134" t="s">
        <v>124</v>
      </c>
      <c r="E134" t="s">
        <v>339</v>
      </c>
      <c r="F134">
        <v>104000</v>
      </c>
      <c r="G134" t="s">
        <v>340</v>
      </c>
      <c r="H134">
        <v>181161.29032258064</v>
      </c>
    </row>
    <row r="135">
      <c r="A135" t="s">
        <v>36</v>
      </c>
      <c r="B135" t="s">
        <v>37</v>
      </c>
      <c r="C135" t="s">
        <v>127</v>
      </c>
      <c r="D135" t="s">
        <v>128</v>
      </c>
      <c r="E135" t="s">
        <v>341</v>
      </c>
      <c r="F135">
        <v>6136000</v>
      </c>
      <c r="G135" t="s">
        <v>342</v>
      </c>
      <c r="H135">
        <v>10688516.129032258</v>
      </c>
    </row>
    <row r="136">
      <c r="A136" t="s">
        <v>36</v>
      </c>
      <c r="B136" t="s">
        <v>37</v>
      </c>
      <c r="C136" t="s">
        <v>131</v>
      </c>
      <c r="D136" t="s">
        <v>132</v>
      </c>
      <c r="E136" t="s">
        <v>343</v>
      </c>
      <c r="F136">
        <v>59</v>
      </c>
      <c r="G136" t="s">
        <v>343</v>
      </c>
      <c r="H136">
        <v>59</v>
      </c>
    </row>
    <row r="137">
      <c r="A137" t="s">
        <v>36</v>
      </c>
      <c r="B137" t="s">
        <v>37</v>
      </c>
      <c r="C137" t="s">
        <v>134</v>
      </c>
      <c r="D137" t="s">
        <v>135</v>
      </c>
      <c r="E137" t="s">
        <v>136</v>
      </c>
      <c r="F137">
        <v>8760</v>
      </c>
      <c r="G137" t="s">
        <v>136</v>
      </c>
      <c r="H137">
        <v>8760</v>
      </c>
    </row>
    <row r="138">
      <c r="A138" t="s">
        <v>36</v>
      </c>
      <c r="B138" t="s">
        <v>37</v>
      </c>
      <c r="C138" t="s">
        <v>137</v>
      </c>
      <c r="D138" t="s">
        <v>138</v>
      </c>
      <c r="E138" t="s">
        <v>139</v>
      </c>
      <c r="F138">
        <v>0.25</v>
      </c>
      <c r="G138" t="s">
        <v>139</v>
      </c>
      <c r="H138">
        <v>0.25</v>
      </c>
    </row>
    <row r="139">
      <c r="A139" t="s">
        <v>36</v>
      </c>
      <c r="B139" t="s">
        <v>37</v>
      </c>
      <c r="C139" t="s">
        <v>140</v>
      </c>
      <c r="D139" t="s">
        <v>141</v>
      </c>
      <c r="E139" t="s">
        <v>142</v>
      </c>
      <c r="F139">
        <v>2190</v>
      </c>
      <c r="G139" t="s">
        <v>142</v>
      </c>
      <c r="H139">
        <v>2190</v>
      </c>
    </row>
    <row r="140">
      <c r="A140" t="s">
        <v>36</v>
      </c>
      <c r="B140" t="s">
        <v>37</v>
      </c>
      <c r="C140" t="s">
        <v>143</v>
      </c>
      <c r="D140" t="s">
        <v>144</v>
      </c>
      <c r="E140" t="s">
        <v>145</v>
      </c>
      <c r="F140">
        <v>0.35</v>
      </c>
      <c r="G140" t="s">
        <v>145</v>
      </c>
      <c r="H140">
        <v>0.35</v>
      </c>
    </row>
    <row r="141">
      <c r="A141" t="s">
        <v>36</v>
      </c>
      <c r="B141" t="s">
        <v>37</v>
      </c>
      <c r="C141" t="s">
        <v>87</v>
      </c>
      <c r="D141" t="s">
        <v>146</v>
      </c>
      <c r="E141" t="s">
        <v>344</v>
      </c>
      <c r="F141">
        <v>36400</v>
      </c>
      <c r="G141" t="s">
        <v>345</v>
      </c>
      <c r="H141">
        <v>63406.45161290322</v>
      </c>
    </row>
    <row r="142">
      <c r="A142" t="s">
        <v>36</v>
      </c>
      <c r="B142" t="s">
        <v>37</v>
      </c>
      <c r="C142" t="s">
        <v>88</v>
      </c>
      <c r="D142" t="s">
        <v>149</v>
      </c>
      <c r="E142" t="s">
        <v>346</v>
      </c>
      <c r="F142">
        <v>2147600</v>
      </c>
      <c r="G142" t="s">
        <v>347</v>
      </c>
      <c r="H142">
        <v>3740980.64516129</v>
      </c>
    </row>
    <row r="143">
      <c r="A143" t="s">
        <v>36</v>
      </c>
      <c r="B143" t="s">
        <v>37</v>
      </c>
      <c r="C143" t="s">
        <v>89</v>
      </c>
      <c r="D143" t="s">
        <v>152</v>
      </c>
      <c r="E143" t="s">
        <v>348</v>
      </c>
      <c r="F143">
        <v>3988400</v>
      </c>
      <c r="G143" t="s">
        <v>349</v>
      </c>
      <c r="H143">
        <v>6947535.483870968</v>
      </c>
    </row>
    <row r="144">
      <c r="A144" t="s">
        <v>36</v>
      </c>
      <c r="B144" t="s">
        <v>37</v>
      </c>
      <c r="C144" t="s">
        <v>155</v>
      </c>
      <c r="D144" t="s">
        <v>156</v>
      </c>
      <c r="E144" t="s">
        <v>350</v>
      </c>
      <c r="F144">
        <v>16.621004566210047</v>
      </c>
      <c r="G144" t="s">
        <v>351</v>
      </c>
      <c r="H144">
        <v>28.952717631462658</v>
      </c>
    </row>
    <row r="145">
      <c r="A145" t="s">
        <v>36</v>
      </c>
      <c r="B145" t="s">
        <v>37</v>
      </c>
      <c r="C145" t="s">
        <v>159</v>
      </c>
      <c r="D145" t="s">
        <v>160</v>
      </c>
      <c r="E145" t="s">
        <v>352</v>
      </c>
      <c r="F145">
        <v>17</v>
      </c>
      <c r="G145" t="s">
        <v>353</v>
      </c>
      <c r="H145">
        <v>29</v>
      </c>
    </row>
    <row r="146">
      <c r="A146" t="s">
        <v>36</v>
      </c>
      <c r="B146" t="s">
        <v>37</v>
      </c>
      <c r="C146" t="s">
        <v>163</v>
      </c>
      <c r="D146" t="s">
        <v>164</v>
      </c>
      <c r="E146" t="s">
        <v>354</v>
      </c>
      <c r="F146">
        <v>3.4</v>
      </c>
      <c r="G146" t="s">
        <v>355</v>
      </c>
      <c r="H146">
        <v>4.142857142857143</v>
      </c>
    </row>
    <row r="147">
      <c r="A147" t="s">
        <v>36</v>
      </c>
      <c r="B147" t="s">
        <v>37</v>
      </c>
      <c r="C147" t="s">
        <v>167</v>
      </c>
      <c r="D147" t="s">
        <v>168</v>
      </c>
      <c r="E147" t="s">
        <v>356</v>
      </c>
      <c r="F147">
        <v>4</v>
      </c>
      <c r="G147" t="s">
        <v>357</v>
      </c>
      <c r="H147">
        <v>5</v>
      </c>
    </row>
    <row r="148">
      <c r="A148" t="s">
        <v>36</v>
      </c>
      <c r="B148" t="s">
        <v>37</v>
      </c>
      <c r="C148" t="s">
        <v>171</v>
      </c>
      <c r="D148" t="s">
        <v>172</v>
      </c>
      <c r="E148" t="s">
        <v>358</v>
      </c>
      <c r="F148">
        <v>1284000</v>
      </c>
      <c r="G148" t="s">
        <v>359</v>
      </c>
      <c r="H148">
        <v>2008000</v>
      </c>
    </row>
    <row r="149">
      <c r="A149" t="s">
        <v>36</v>
      </c>
      <c r="B149" t="s">
        <v>37</v>
      </c>
      <c r="C149" t="s">
        <v>95</v>
      </c>
      <c r="D149" t="s">
        <v>175</v>
      </c>
      <c r="E149" t="s">
        <v>360</v>
      </c>
      <c r="F149">
        <v>863600</v>
      </c>
      <c r="G149" t="s">
        <v>361</v>
      </c>
      <c r="H149">
        <v>1732980.6451612902</v>
      </c>
    </row>
    <row r="150">
      <c r="A150" t="s">
        <v>36</v>
      </c>
      <c r="B150" t="s">
        <v>37</v>
      </c>
      <c r="C150" t="s">
        <v>178</v>
      </c>
      <c r="D150" t="s">
        <v>179</v>
      </c>
      <c r="E150" t="s">
        <v>362</v>
      </c>
      <c r="F150">
        <v>0.5978766995716148</v>
      </c>
      <c r="G150" t="s">
        <v>363</v>
      </c>
      <c r="H150">
        <v>0.5367576554017233</v>
      </c>
    </row>
    <row r="151">
      <c r="A151" t="s">
        <v>36</v>
      </c>
      <c r="B151" t="s">
        <v>37</v>
      </c>
      <c r="C151" t="s">
        <v>182</v>
      </c>
      <c r="D151" t="s">
        <v>183</v>
      </c>
      <c r="E151" t="s">
        <v>364</v>
      </c>
      <c r="F151">
        <v>0.6725856697819315</v>
      </c>
      <c r="G151" t="s">
        <v>365</v>
      </c>
      <c r="H151">
        <v>0.8630381699010409</v>
      </c>
    </row>
    <row r="152">
      <c r="A152" t="s">
        <v>36</v>
      </c>
      <c r="B152" t="s">
        <v>37</v>
      </c>
      <c r="C152" t="s">
        <v>186</v>
      </c>
      <c r="D152" t="s">
        <v>187</v>
      </c>
      <c r="E152" t="s">
        <v>366</v>
      </c>
      <c r="F152">
        <v>20.14821676702177</v>
      </c>
      <c r="G152" t="s">
        <v>367</v>
      </c>
      <c r="H152">
        <v>16.272541807514187</v>
      </c>
    </row>
    <row r="153">
      <c r="A153" t="s">
        <v>36</v>
      </c>
      <c r="B153" t="s">
        <v>37</v>
      </c>
      <c r="C153" t="s">
        <v>190</v>
      </c>
      <c r="D153" t="s">
        <v>191</v>
      </c>
      <c r="E153" t="s">
        <v>368</v>
      </c>
      <c r="F153">
        <v>5272400</v>
      </c>
      <c r="G153" t="s">
        <v>369</v>
      </c>
      <c r="H153">
        <v>8955535.483870968</v>
      </c>
    </row>
    <row r="154">
      <c r="A154" t="s">
        <v>36</v>
      </c>
      <c r="B154" t="s">
        <v>37</v>
      </c>
      <c r="C154" t="s">
        <v>98</v>
      </c>
      <c r="D154" t="s">
        <v>194</v>
      </c>
      <c r="E154" t="s">
        <v>370</v>
      </c>
      <c r="F154">
        <v>0.8592568448500651</v>
      </c>
      <c r="G154" t="s">
        <v>371</v>
      </c>
      <c r="H154">
        <v>0.8378651793906031</v>
      </c>
    </row>
    <row r="155">
      <c r="A155" t="s">
        <v>36</v>
      </c>
      <c r="B155" t="s">
        <v>37</v>
      </c>
      <c r="C155" t="s">
        <v>99</v>
      </c>
      <c r="D155" t="s">
        <v>197</v>
      </c>
      <c r="E155" t="s">
        <v>372</v>
      </c>
      <c r="F155">
        <v>1450000</v>
      </c>
      <c r="G155" t="s">
        <v>373</v>
      </c>
      <c r="H155">
        <v>2350000</v>
      </c>
    </row>
    <row r="156">
      <c r="A156" t="s">
        <v>36</v>
      </c>
      <c r="B156" t="s">
        <v>37</v>
      </c>
      <c r="C156" t="s">
        <v>101</v>
      </c>
      <c r="D156" t="s">
        <v>200</v>
      </c>
      <c r="E156" t="s">
        <v>281</v>
      </c>
      <c r="F156">
        <v>4.38</v>
      </c>
      <c r="G156" t="s">
        <v>281</v>
      </c>
      <c r="H156">
        <v>4.38</v>
      </c>
    </row>
    <row r="157">
      <c r="A157" t="s">
        <v>36</v>
      </c>
      <c r="B157" t="s">
        <v>37</v>
      </c>
      <c r="C157" t="s">
        <v>202</v>
      </c>
      <c r="D157" t="s">
        <v>203</v>
      </c>
      <c r="E157" t="s">
        <v>374</v>
      </c>
      <c r="F157">
        <v>1.9793548387096773</v>
      </c>
      <c r="G157" t="s">
        <v>375</v>
      </c>
      <c r="H157">
        <v>1.9793548387096773</v>
      </c>
    </row>
    <row r="158">
      <c r="A158" t="s">
        <v>36</v>
      </c>
      <c r="B158" t="s">
        <v>37</v>
      </c>
      <c r="C158" t="s">
        <v>206</v>
      </c>
      <c r="D158" t="s">
        <v>207</v>
      </c>
      <c r="E158" t="s">
        <v>376</v>
      </c>
      <c r="F158">
        <v>0.41419354838709677</v>
      </c>
      <c r="G158" t="s">
        <v>377</v>
      </c>
      <c r="H158">
        <v>0.3718518518518519</v>
      </c>
    </row>
    <row r="159">
      <c r="A159" t="s">
        <v>36</v>
      </c>
      <c r="B159" t="s">
        <v>37</v>
      </c>
      <c r="C159" t="s">
        <v>210</v>
      </c>
      <c r="D159" t="s">
        <v>211</v>
      </c>
      <c r="E159" t="s">
        <v>378</v>
      </c>
      <c r="F159">
        <v>0.27858064516129033</v>
      </c>
      <c r="G159" t="s">
        <v>379</v>
      </c>
      <c r="H159">
        <v>0.3209223416965352</v>
      </c>
    </row>
    <row r="160">
      <c r="A160" t="s">
        <v>36</v>
      </c>
      <c r="B160" t="s">
        <v>37</v>
      </c>
      <c r="C160" t="s">
        <v>214</v>
      </c>
    </row>
    <row r="161">
      <c r="A161" t="s">
        <v>36</v>
      </c>
      <c r="B161" t="s">
        <v>37</v>
      </c>
      <c r="C161" t="s">
        <v>215</v>
      </c>
      <c r="D161" t="s">
        <v>216</v>
      </c>
      <c r="E161" t="s">
        <v>217</v>
      </c>
      <c r="F161">
        <v>24</v>
      </c>
    </row>
    <row r="162">
      <c r="A162" t="s">
        <v>36</v>
      </c>
      <c r="B162" t="s">
        <v>37</v>
      </c>
      <c r="C162" t="s">
        <v>218</v>
      </c>
      <c r="D162" t="s">
        <v>216</v>
      </c>
      <c r="E162" t="s">
        <v>219</v>
      </c>
      <c r="F162">
        <v>365</v>
      </c>
    </row>
    <row r="163">
      <c r="A163" t="s">
        <v>36</v>
      </c>
      <c r="B163" t="s">
        <v>37</v>
      </c>
      <c r="C163" t="s">
        <v>220</v>
      </c>
      <c r="D163" t="s">
        <v>216</v>
      </c>
      <c r="E163" t="s">
        <v>221</v>
      </c>
      <c r="F163">
        <v>1</v>
      </c>
    </row>
    <row r="164">
      <c r="A164" t="s">
        <v>36</v>
      </c>
      <c r="B164" t="s">
        <v>37</v>
      </c>
      <c r="C164" t="s">
        <v>222</v>
      </c>
      <c r="D164" t="s">
        <v>223</v>
      </c>
      <c r="E164" t="s">
        <v>224</v>
      </c>
      <c r="F164">
        <v>52000</v>
      </c>
    </row>
    <row r="165">
      <c r="A165" t="s">
        <v>36</v>
      </c>
      <c r="B165" t="s">
        <v>37</v>
      </c>
      <c r="C165" t="s">
        <v>225</v>
      </c>
      <c r="D165" t="s">
        <v>223</v>
      </c>
      <c r="E165" t="s">
        <v>226</v>
      </c>
      <c r="F165">
        <v>100000</v>
      </c>
    </row>
    <row r="166">
      <c r="A166" t="s">
        <v>36</v>
      </c>
      <c r="B166" t="s">
        <v>37</v>
      </c>
      <c r="C166" t="s">
        <v>227</v>
      </c>
      <c r="D166" t="s">
        <v>216</v>
      </c>
      <c r="E166" t="s">
        <v>228</v>
      </c>
      <c r="F166">
        <v>5</v>
      </c>
    </row>
    <row r="167">
      <c r="A167" t="s">
        <v>36</v>
      </c>
      <c r="B167" t="s">
        <v>37</v>
      </c>
      <c r="C167" t="s">
        <v>229</v>
      </c>
      <c r="D167" t="s">
        <v>216</v>
      </c>
      <c r="E167" t="s">
        <v>230</v>
      </c>
      <c r="F167">
        <v>7</v>
      </c>
    </row>
    <row r="168">
      <c r="A168" t="s">
        <v>36</v>
      </c>
      <c r="B168" t="s">
        <v>37</v>
      </c>
      <c r="C168" t="s">
        <v>231</v>
      </c>
      <c r="D168" t="s">
        <v>223</v>
      </c>
      <c r="E168" t="s">
        <v>232</v>
      </c>
      <c r="F168">
        <v>175000</v>
      </c>
    </row>
    <row r="169">
      <c r="A169" t="s">
        <v>36</v>
      </c>
      <c r="B169" t="s">
        <v>37</v>
      </c>
      <c r="C169" t="s">
        <v>233</v>
      </c>
      <c r="D169" t="s">
        <v>223</v>
      </c>
      <c r="E169" t="s">
        <v>234</v>
      </c>
      <c r="F169">
        <v>75000</v>
      </c>
    </row>
    <row r="170">
      <c r="A170" t="s">
        <v>36</v>
      </c>
      <c r="B170" t="s">
        <v>37</v>
      </c>
      <c r="C170" t="s">
        <v>235</v>
      </c>
      <c r="D170" t="s">
        <v>216</v>
      </c>
      <c r="E170" t="s">
        <v>236</v>
      </c>
      <c r="F170">
        <v>0.25</v>
      </c>
    </row>
    <row r="171">
      <c r="A171" t="s">
        <v>36</v>
      </c>
      <c r="B171" t="s">
        <v>37</v>
      </c>
      <c r="C171" t="s">
        <v>237</v>
      </c>
      <c r="D171" t="s">
        <v>216</v>
      </c>
      <c r="E171" t="s">
        <v>238</v>
      </c>
      <c r="F171">
        <v>0.35</v>
      </c>
    </row>
    <row r="172">
      <c r="A172" t="s">
        <v>36</v>
      </c>
      <c r="B172" t="s">
        <v>37</v>
      </c>
      <c r="C172" t="s">
        <v>239</v>
      </c>
      <c r="D172" t="s">
        <v>216</v>
      </c>
      <c r="E172" t="s">
        <v>240</v>
      </c>
    </row>
    <row r="174">
      <c r="A174" t="s">
        <v>39</v>
      </c>
      <c r="B174" t="s">
        <v>40</v>
      </c>
      <c r="C174" t="s">
        <v>113</v>
      </c>
      <c r="D174" t="s">
        <v>114</v>
      </c>
      <c r="E174" t="s">
        <v>380</v>
      </c>
      <c r="F174">
        <v>5800000</v>
      </c>
      <c r="G174" t="s">
        <v>381</v>
      </c>
      <c r="H174">
        <v>9500000</v>
      </c>
    </row>
    <row r="175">
      <c r="A175" t="s">
        <v>39</v>
      </c>
      <c r="B175" t="s">
        <v>40</v>
      </c>
      <c r="C175" t="s">
        <v>77</v>
      </c>
      <c r="D175" t="s">
        <v>117</v>
      </c>
      <c r="E175" t="s">
        <v>118</v>
      </c>
      <c r="F175">
        <v>1</v>
      </c>
      <c r="G175" t="s">
        <v>382</v>
      </c>
      <c r="H175">
        <v>1.6379310344827587</v>
      </c>
    </row>
    <row r="176">
      <c r="A176" t="s">
        <v>39</v>
      </c>
      <c r="B176" t="s">
        <v>40</v>
      </c>
      <c r="C176" t="s">
        <v>79</v>
      </c>
      <c r="D176" t="s">
        <v>120</v>
      </c>
      <c r="E176" t="s">
        <v>383</v>
      </c>
      <c r="F176">
        <v>74</v>
      </c>
      <c r="G176" t="s">
        <v>384</v>
      </c>
      <c r="H176">
        <v>121.20689655172414</v>
      </c>
    </row>
    <row r="177">
      <c r="A177" t="s">
        <v>39</v>
      </c>
      <c r="B177" t="s">
        <v>40</v>
      </c>
      <c r="C177" t="s">
        <v>123</v>
      </c>
      <c r="D177" t="s">
        <v>124</v>
      </c>
      <c r="E177" t="s">
        <v>385</v>
      </c>
      <c r="F177">
        <v>177600</v>
      </c>
      <c r="G177" t="s">
        <v>386</v>
      </c>
      <c r="H177">
        <v>290896.5517241379</v>
      </c>
    </row>
    <row r="178">
      <c r="A178" t="s">
        <v>39</v>
      </c>
      <c r="B178" t="s">
        <v>40</v>
      </c>
      <c r="C178" t="s">
        <v>127</v>
      </c>
      <c r="D178" t="s">
        <v>128</v>
      </c>
      <c r="E178" t="s">
        <v>387</v>
      </c>
      <c r="F178">
        <v>9250000</v>
      </c>
      <c r="G178" t="s">
        <v>388</v>
      </c>
      <c r="H178">
        <v>15150862.068965517</v>
      </c>
    </row>
    <row r="179">
      <c r="A179" t="s">
        <v>39</v>
      </c>
      <c r="B179" t="s">
        <v>40</v>
      </c>
      <c r="C179" t="s">
        <v>131</v>
      </c>
      <c r="D179" t="s">
        <v>132</v>
      </c>
      <c r="E179" t="s">
        <v>389</v>
      </c>
      <c r="F179">
        <v>52.083333333333336</v>
      </c>
      <c r="G179" t="s">
        <v>389</v>
      </c>
      <c r="H179">
        <v>52.083333333333336</v>
      </c>
    </row>
    <row r="180">
      <c r="A180" t="s">
        <v>39</v>
      </c>
      <c r="B180" t="s">
        <v>40</v>
      </c>
      <c r="C180" t="s">
        <v>134</v>
      </c>
      <c r="D180" t="s">
        <v>135</v>
      </c>
      <c r="E180" t="s">
        <v>136</v>
      </c>
      <c r="F180">
        <v>8760</v>
      </c>
      <c r="G180" t="s">
        <v>136</v>
      </c>
      <c r="H180">
        <v>8760</v>
      </c>
    </row>
    <row r="181">
      <c r="A181" t="s">
        <v>39</v>
      </c>
      <c r="B181" t="s">
        <v>40</v>
      </c>
      <c r="C181" t="s">
        <v>137</v>
      </c>
      <c r="D181" t="s">
        <v>138</v>
      </c>
      <c r="E181" t="s">
        <v>390</v>
      </c>
      <c r="F181">
        <v>0.2</v>
      </c>
      <c r="G181" t="s">
        <v>390</v>
      </c>
      <c r="H181">
        <v>0.2</v>
      </c>
    </row>
    <row r="182">
      <c r="A182" t="s">
        <v>39</v>
      </c>
      <c r="B182" t="s">
        <v>40</v>
      </c>
      <c r="C182" t="s">
        <v>140</v>
      </c>
      <c r="D182" t="s">
        <v>141</v>
      </c>
      <c r="E182" t="s">
        <v>391</v>
      </c>
      <c r="F182">
        <v>1752</v>
      </c>
      <c r="G182" t="s">
        <v>391</v>
      </c>
      <c r="H182">
        <v>1752</v>
      </c>
    </row>
    <row r="183">
      <c r="A183" t="s">
        <v>39</v>
      </c>
      <c r="B183" t="s">
        <v>40</v>
      </c>
      <c r="C183" t="s">
        <v>143</v>
      </c>
      <c r="D183" t="s">
        <v>144</v>
      </c>
      <c r="E183" t="s">
        <v>145</v>
      </c>
      <c r="F183">
        <v>0.35</v>
      </c>
      <c r="G183" t="s">
        <v>145</v>
      </c>
      <c r="H183">
        <v>0.35</v>
      </c>
    </row>
    <row r="184">
      <c r="A184" t="s">
        <v>39</v>
      </c>
      <c r="B184" t="s">
        <v>40</v>
      </c>
      <c r="C184" t="s">
        <v>87</v>
      </c>
      <c r="D184" t="s">
        <v>146</v>
      </c>
      <c r="E184" t="s">
        <v>392</v>
      </c>
      <c r="F184">
        <v>62159.99999999999</v>
      </c>
      <c r="G184" t="s">
        <v>393</v>
      </c>
      <c r="H184">
        <v>101813.79310344826</v>
      </c>
    </row>
    <row r="185">
      <c r="A185" t="s">
        <v>39</v>
      </c>
      <c r="B185" t="s">
        <v>40</v>
      </c>
      <c r="C185" t="s">
        <v>88</v>
      </c>
      <c r="D185" t="s">
        <v>149</v>
      </c>
      <c r="E185" t="s">
        <v>394</v>
      </c>
      <c r="F185">
        <v>3237500</v>
      </c>
      <c r="G185" t="s">
        <v>395</v>
      </c>
      <c r="H185">
        <v>5302801.72413793</v>
      </c>
    </row>
    <row r="186">
      <c r="A186" t="s">
        <v>39</v>
      </c>
      <c r="B186" t="s">
        <v>40</v>
      </c>
      <c r="C186" t="s">
        <v>89</v>
      </c>
      <c r="D186" t="s">
        <v>152</v>
      </c>
      <c r="E186" t="s">
        <v>396</v>
      </c>
      <c r="F186">
        <v>6012500</v>
      </c>
      <c r="G186" t="s">
        <v>397</v>
      </c>
      <c r="H186">
        <v>9848060.344827587</v>
      </c>
    </row>
    <row r="187">
      <c r="A187" t="s">
        <v>39</v>
      </c>
      <c r="B187" t="s">
        <v>40</v>
      </c>
      <c r="C187" t="s">
        <v>155</v>
      </c>
      <c r="D187" t="s">
        <v>156</v>
      </c>
      <c r="E187" t="s">
        <v>398</v>
      </c>
      <c r="F187">
        <v>35.479452054794514</v>
      </c>
      <c r="G187" t="s">
        <v>399</v>
      </c>
      <c r="H187">
        <v>58.11289560699102</v>
      </c>
    </row>
    <row r="188">
      <c r="A188" t="s">
        <v>39</v>
      </c>
      <c r="B188" t="s">
        <v>40</v>
      </c>
      <c r="C188" t="s">
        <v>159</v>
      </c>
      <c r="D188" t="s">
        <v>160</v>
      </c>
      <c r="E188" t="s">
        <v>400</v>
      </c>
      <c r="F188">
        <v>36</v>
      </c>
      <c r="G188" t="s">
        <v>401</v>
      </c>
      <c r="H188">
        <v>59</v>
      </c>
    </row>
    <row r="189">
      <c r="A189" t="s">
        <v>39</v>
      </c>
      <c r="B189" t="s">
        <v>40</v>
      </c>
      <c r="C189" t="s">
        <v>163</v>
      </c>
      <c r="D189" t="s">
        <v>164</v>
      </c>
      <c r="E189" t="s">
        <v>402</v>
      </c>
      <c r="F189">
        <v>7.2</v>
      </c>
      <c r="G189" t="s">
        <v>403</v>
      </c>
      <c r="H189">
        <v>8.428571428571429</v>
      </c>
    </row>
    <row r="190">
      <c r="A190" t="s">
        <v>39</v>
      </c>
      <c r="B190" t="s">
        <v>40</v>
      </c>
      <c r="C190" t="s">
        <v>167</v>
      </c>
      <c r="D190" t="s">
        <v>168</v>
      </c>
      <c r="E190" t="s">
        <v>404</v>
      </c>
      <c r="F190">
        <v>8</v>
      </c>
      <c r="G190" t="s">
        <v>405</v>
      </c>
      <c r="H190">
        <v>9</v>
      </c>
    </row>
    <row r="191">
      <c r="A191" t="s">
        <v>39</v>
      </c>
      <c r="B191" t="s">
        <v>40</v>
      </c>
      <c r="C191" t="s">
        <v>171</v>
      </c>
      <c r="D191" t="s">
        <v>172</v>
      </c>
      <c r="E191" t="s">
        <v>406</v>
      </c>
      <c r="F191">
        <v>2672000</v>
      </c>
      <c r="G191" t="s">
        <v>407</v>
      </c>
      <c r="H191">
        <v>3968000</v>
      </c>
    </row>
    <row r="192">
      <c r="A192" t="s">
        <v>39</v>
      </c>
      <c r="B192" t="s">
        <v>40</v>
      </c>
      <c r="C192" t="s">
        <v>95</v>
      </c>
      <c r="D192" t="s">
        <v>175</v>
      </c>
      <c r="E192" t="s">
        <v>408</v>
      </c>
      <c r="F192">
        <v>565500</v>
      </c>
      <c r="G192" t="s">
        <v>409</v>
      </c>
      <c r="H192">
        <v>1334801.7241379302</v>
      </c>
    </row>
    <row r="193">
      <c r="A193" t="s">
        <v>39</v>
      </c>
      <c r="B193" t="s">
        <v>40</v>
      </c>
      <c r="C193" t="s">
        <v>178</v>
      </c>
      <c r="D193" t="s">
        <v>179</v>
      </c>
      <c r="E193" t="s">
        <v>410</v>
      </c>
      <c r="F193">
        <v>0.8253281853281853</v>
      </c>
      <c r="G193" t="s">
        <v>411</v>
      </c>
      <c r="H193">
        <v>0.7482836821784191</v>
      </c>
    </row>
    <row r="194">
      <c r="A194" t="s">
        <v>39</v>
      </c>
      <c r="B194" t="s">
        <v>40</v>
      </c>
      <c r="C194" t="s">
        <v>182</v>
      </c>
      <c r="D194" t="s">
        <v>183</v>
      </c>
      <c r="E194" t="s">
        <v>412</v>
      </c>
      <c r="F194">
        <v>0.21163922155688622</v>
      </c>
      <c r="G194" t="s">
        <v>413</v>
      </c>
      <c r="H194">
        <v>0.3363915635428252</v>
      </c>
    </row>
    <row r="195">
      <c r="A195" t="s">
        <v>39</v>
      </c>
      <c r="B195" t="s">
        <v>40</v>
      </c>
      <c r="C195" t="s">
        <v>186</v>
      </c>
      <c r="D195" t="s">
        <v>187</v>
      </c>
      <c r="E195" t="s">
        <v>414</v>
      </c>
      <c r="F195">
        <v>61.0079575596817</v>
      </c>
      <c r="G195" t="s">
        <v>415</v>
      </c>
      <c r="H195">
        <v>41.35445662212523</v>
      </c>
    </row>
    <row r="196">
      <c r="A196" t="s">
        <v>39</v>
      </c>
      <c r="B196" t="s">
        <v>40</v>
      </c>
      <c r="C196" t="s">
        <v>190</v>
      </c>
      <c r="D196" t="s">
        <v>191</v>
      </c>
      <c r="E196" t="s">
        <v>416</v>
      </c>
      <c r="F196">
        <v>8684500</v>
      </c>
      <c r="G196" t="s">
        <v>417</v>
      </c>
      <c r="H196">
        <v>13816060.344827587</v>
      </c>
    </row>
    <row r="197">
      <c r="A197" t="s">
        <v>39</v>
      </c>
      <c r="B197" t="s">
        <v>40</v>
      </c>
      <c r="C197" t="s">
        <v>98</v>
      </c>
      <c r="D197" t="s">
        <v>194</v>
      </c>
      <c r="E197" t="s">
        <v>418</v>
      </c>
      <c r="F197">
        <v>0.9388648648648649</v>
      </c>
      <c r="G197" t="s">
        <v>419</v>
      </c>
      <c r="H197">
        <v>0.9118992887624467</v>
      </c>
    </row>
    <row r="198">
      <c r="A198" t="s">
        <v>39</v>
      </c>
      <c r="B198" t="s">
        <v>40</v>
      </c>
      <c r="C198" t="s">
        <v>99</v>
      </c>
      <c r="D198" t="s">
        <v>197</v>
      </c>
      <c r="E198" t="s">
        <v>420</v>
      </c>
      <c r="F198">
        <v>2875000</v>
      </c>
      <c r="G198" t="s">
        <v>421</v>
      </c>
      <c r="H198">
        <v>4600000</v>
      </c>
    </row>
    <row r="199">
      <c r="A199" t="s">
        <v>39</v>
      </c>
      <c r="B199" t="s">
        <v>40</v>
      </c>
      <c r="C199" t="s">
        <v>101</v>
      </c>
      <c r="D199" t="s">
        <v>200</v>
      </c>
      <c r="E199" t="s">
        <v>422</v>
      </c>
      <c r="F199">
        <v>3.65</v>
      </c>
      <c r="G199" t="s">
        <v>422</v>
      </c>
      <c r="H199">
        <v>3.65</v>
      </c>
    </row>
    <row r="200">
      <c r="A200" t="s">
        <v>39</v>
      </c>
      <c r="B200" t="s">
        <v>40</v>
      </c>
      <c r="C200" t="s">
        <v>202</v>
      </c>
      <c r="D200" t="s">
        <v>203</v>
      </c>
      <c r="E200" t="s">
        <v>423</v>
      </c>
      <c r="F200">
        <v>1.5948275862068966</v>
      </c>
      <c r="G200" t="s">
        <v>424</v>
      </c>
      <c r="H200">
        <v>1.5948275862068966</v>
      </c>
    </row>
    <row r="201">
      <c r="A201" t="s">
        <v>39</v>
      </c>
      <c r="B201" t="s">
        <v>40</v>
      </c>
      <c r="C201" t="s">
        <v>206</v>
      </c>
      <c r="D201" t="s">
        <v>207</v>
      </c>
      <c r="E201" t="s">
        <v>425</v>
      </c>
      <c r="F201">
        <v>0.4606896551724138</v>
      </c>
      <c r="G201" t="s">
        <v>426</v>
      </c>
      <c r="H201">
        <v>0.41768421052631577</v>
      </c>
    </row>
    <row r="202">
      <c r="A202" t="s">
        <v>39</v>
      </c>
      <c r="B202" t="s">
        <v>40</v>
      </c>
      <c r="C202" t="s">
        <v>210</v>
      </c>
      <c r="D202" t="s">
        <v>211</v>
      </c>
      <c r="E202" t="s">
        <v>427</v>
      </c>
      <c r="F202">
        <v>0.0975</v>
      </c>
      <c r="G202" t="s">
        <v>428</v>
      </c>
      <c r="H202">
        <v>0.1405054446460979</v>
      </c>
    </row>
    <row r="203">
      <c r="A203" t="s">
        <v>39</v>
      </c>
      <c r="B203" t="s">
        <v>40</v>
      </c>
      <c r="C203" t="s">
        <v>214</v>
      </c>
    </row>
    <row r="204">
      <c r="A204" t="s">
        <v>39</v>
      </c>
      <c r="B204" t="s">
        <v>40</v>
      </c>
      <c r="C204" t="s">
        <v>215</v>
      </c>
      <c r="D204" t="s">
        <v>216</v>
      </c>
      <c r="E204" t="s">
        <v>217</v>
      </c>
      <c r="F204">
        <v>24</v>
      </c>
    </row>
    <row r="205">
      <c r="A205" t="s">
        <v>39</v>
      </c>
      <c r="B205" t="s">
        <v>40</v>
      </c>
      <c r="C205" t="s">
        <v>218</v>
      </c>
      <c r="D205" t="s">
        <v>216</v>
      </c>
      <c r="E205" t="s">
        <v>219</v>
      </c>
      <c r="F205">
        <v>365</v>
      </c>
    </row>
    <row r="206">
      <c r="A206" t="s">
        <v>39</v>
      </c>
      <c r="B206" t="s">
        <v>40</v>
      </c>
      <c r="C206" t="s">
        <v>220</v>
      </c>
      <c r="D206" t="s">
        <v>216</v>
      </c>
      <c r="E206" t="s">
        <v>221</v>
      </c>
      <c r="F206">
        <v>1</v>
      </c>
    </row>
    <row r="207">
      <c r="A207" t="s">
        <v>39</v>
      </c>
      <c r="B207" t="s">
        <v>40</v>
      </c>
      <c r="C207" t="s">
        <v>222</v>
      </c>
      <c r="D207" t="s">
        <v>223</v>
      </c>
      <c r="E207" t="s">
        <v>224</v>
      </c>
      <c r="F207">
        <v>52000</v>
      </c>
    </row>
    <row r="208">
      <c r="A208" t="s">
        <v>39</v>
      </c>
      <c r="B208" t="s">
        <v>40</v>
      </c>
      <c r="C208" t="s">
        <v>225</v>
      </c>
      <c r="D208" t="s">
        <v>223</v>
      </c>
      <c r="E208" t="s">
        <v>226</v>
      </c>
      <c r="F208">
        <v>100000</v>
      </c>
    </row>
    <row r="209">
      <c r="A209" t="s">
        <v>39</v>
      </c>
      <c r="B209" t="s">
        <v>40</v>
      </c>
      <c r="C209" t="s">
        <v>227</v>
      </c>
      <c r="D209" t="s">
        <v>216</v>
      </c>
      <c r="E209" t="s">
        <v>228</v>
      </c>
      <c r="F209">
        <v>5</v>
      </c>
    </row>
    <row r="210">
      <c r="A210" t="s">
        <v>39</v>
      </c>
      <c r="B210" t="s">
        <v>40</v>
      </c>
      <c r="C210" t="s">
        <v>229</v>
      </c>
      <c r="D210" t="s">
        <v>216</v>
      </c>
      <c r="E210" t="s">
        <v>230</v>
      </c>
      <c r="F210">
        <v>7</v>
      </c>
    </row>
    <row r="211">
      <c r="A211" t="s">
        <v>39</v>
      </c>
      <c r="B211" t="s">
        <v>40</v>
      </c>
      <c r="C211" t="s">
        <v>231</v>
      </c>
      <c r="D211" t="s">
        <v>223</v>
      </c>
      <c r="E211" t="s">
        <v>232</v>
      </c>
      <c r="F211">
        <v>175000</v>
      </c>
    </row>
    <row r="212">
      <c r="A212" t="s">
        <v>39</v>
      </c>
      <c r="B212" t="s">
        <v>40</v>
      </c>
      <c r="C212" t="s">
        <v>233</v>
      </c>
      <c r="D212" t="s">
        <v>223</v>
      </c>
      <c r="E212" t="s">
        <v>234</v>
      </c>
      <c r="F212">
        <v>75000</v>
      </c>
    </row>
    <row r="213">
      <c r="A213" t="s">
        <v>39</v>
      </c>
      <c r="B213" t="s">
        <v>40</v>
      </c>
      <c r="C213" t="s">
        <v>235</v>
      </c>
      <c r="D213" t="s">
        <v>429</v>
      </c>
      <c r="E213" t="s">
        <v>430</v>
      </c>
      <c r="F213">
        <v>0.2</v>
      </c>
    </row>
    <row r="214">
      <c r="A214" t="s">
        <v>39</v>
      </c>
      <c r="B214" t="s">
        <v>40</v>
      </c>
      <c r="C214" t="s">
        <v>237</v>
      </c>
      <c r="D214" t="s">
        <v>216</v>
      </c>
      <c r="E214" t="s">
        <v>238</v>
      </c>
      <c r="F214">
        <v>0.35</v>
      </c>
    </row>
    <row r="215">
      <c r="A215" t="s">
        <v>39</v>
      </c>
      <c r="B215" t="s">
        <v>40</v>
      </c>
      <c r="C215" t="s">
        <v>239</v>
      </c>
      <c r="D215" t="s">
        <v>216</v>
      </c>
      <c r="E215" t="s">
        <v>240</v>
      </c>
    </row>
    <row r="217">
      <c r="A217" t="s">
        <v>44</v>
      </c>
      <c r="B217" t="s">
        <v>45</v>
      </c>
      <c r="C217" t="s">
        <v>113</v>
      </c>
      <c r="D217" t="s">
        <v>114</v>
      </c>
      <c r="E217" t="s">
        <v>431</v>
      </c>
      <c r="F217">
        <v>1600000</v>
      </c>
      <c r="G217" t="s">
        <v>432</v>
      </c>
      <c r="H217">
        <v>3000000</v>
      </c>
    </row>
    <row r="218">
      <c r="A218" t="s">
        <v>44</v>
      </c>
      <c r="B218" t="s">
        <v>45</v>
      </c>
      <c r="C218" t="s">
        <v>77</v>
      </c>
      <c r="D218" t="s">
        <v>117</v>
      </c>
      <c r="E218" t="s">
        <v>118</v>
      </c>
      <c r="F218">
        <v>1</v>
      </c>
      <c r="G218" t="s">
        <v>433</v>
      </c>
      <c r="H218">
        <v>1.875</v>
      </c>
    </row>
    <row r="219">
      <c r="A219" t="s">
        <v>44</v>
      </c>
      <c r="B219" t="s">
        <v>45</v>
      </c>
      <c r="C219" t="s">
        <v>79</v>
      </c>
      <c r="D219" t="s">
        <v>120</v>
      </c>
      <c r="E219" t="s">
        <v>434</v>
      </c>
      <c r="F219">
        <v>22</v>
      </c>
      <c r="G219" t="s">
        <v>435</v>
      </c>
      <c r="H219">
        <v>41.25</v>
      </c>
    </row>
    <row r="220">
      <c r="A220" t="s">
        <v>44</v>
      </c>
      <c r="B220" t="s">
        <v>45</v>
      </c>
      <c r="C220" t="s">
        <v>123</v>
      </c>
      <c r="D220" t="s">
        <v>124</v>
      </c>
      <c r="E220" t="s">
        <v>436</v>
      </c>
      <c r="F220">
        <v>43120</v>
      </c>
      <c r="G220" t="s">
        <v>437</v>
      </c>
      <c r="H220">
        <v>80850</v>
      </c>
    </row>
    <row r="221">
      <c r="A221" t="s">
        <v>44</v>
      </c>
      <c r="B221" t="s">
        <v>45</v>
      </c>
      <c r="C221" t="s">
        <v>127</v>
      </c>
      <c r="D221" t="s">
        <v>128</v>
      </c>
      <c r="E221" t="s">
        <v>438</v>
      </c>
      <c r="F221">
        <v>2530000</v>
      </c>
      <c r="G221" t="s">
        <v>439</v>
      </c>
      <c r="H221">
        <v>4743750</v>
      </c>
    </row>
    <row r="222">
      <c r="A222" t="s">
        <v>44</v>
      </c>
      <c r="B222" t="s">
        <v>45</v>
      </c>
      <c r="C222" t="s">
        <v>131</v>
      </c>
      <c r="D222" t="s">
        <v>132</v>
      </c>
      <c r="E222" t="s">
        <v>440</v>
      </c>
      <c r="F222">
        <v>58.673469387755105</v>
      </c>
      <c r="G222" t="s">
        <v>440</v>
      </c>
      <c r="H222">
        <v>58.673469387755105</v>
      </c>
    </row>
    <row r="223">
      <c r="A223" t="s">
        <v>44</v>
      </c>
      <c r="B223" t="s">
        <v>45</v>
      </c>
      <c r="C223" t="s">
        <v>134</v>
      </c>
      <c r="D223" t="s">
        <v>135</v>
      </c>
      <c r="E223" t="s">
        <v>136</v>
      </c>
      <c r="F223">
        <v>8760</v>
      </c>
      <c r="G223" t="s">
        <v>136</v>
      </c>
      <c r="H223">
        <v>8760</v>
      </c>
    </row>
    <row r="224">
      <c r="A224" t="s">
        <v>44</v>
      </c>
      <c r="B224" t="s">
        <v>45</v>
      </c>
      <c r="C224" t="s">
        <v>137</v>
      </c>
      <c r="D224" t="s">
        <v>138</v>
      </c>
      <c r="E224" t="s">
        <v>139</v>
      </c>
      <c r="F224">
        <v>0.25</v>
      </c>
      <c r="G224" t="s">
        <v>139</v>
      </c>
      <c r="H224">
        <v>0.25</v>
      </c>
    </row>
    <row r="225">
      <c r="A225" t="s">
        <v>44</v>
      </c>
      <c r="B225" t="s">
        <v>45</v>
      </c>
      <c r="C225" t="s">
        <v>140</v>
      </c>
      <c r="D225" t="s">
        <v>141</v>
      </c>
      <c r="E225" t="s">
        <v>142</v>
      </c>
      <c r="F225">
        <v>2190</v>
      </c>
      <c r="G225" t="s">
        <v>142</v>
      </c>
      <c r="H225">
        <v>2190</v>
      </c>
    </row>
    <row r="226">
      <c r="A226" t="s">
        <v>44</v>
      </c>
      <c r="B226" t="s">
        <v>45</v>
      </c>
      <c r="C226" t="s">
        <v>143</v>
      </c>
      <c r="D226" t="s">
        <v>144</v>
      </c>
      <c r="E226" t="s">
        <v>145</v>
      </c>
      <c r="F226">
        <v>0.35</v>
      </c>
      <c r="G226" t="s">
        <v>145</v>
      </c>
      <c r="H226">
        <v>0.35</v>
      </c>
    </row>
    <row r="227">
      <c r="A227" t="s">
        <v>44</v>
      </c>
      <c r="B227" t="s">
        <v>45</v>
      </c>
      <c r="C227" t="s">
        <v>87</v>
      </c>
      <c r="D227" t="s">
        <v>146</v>
      </c>
      <c r="E227" t="s">
        <v>441</v>
      </c>
      <c r="F227">
        <v>15091.999999999998</v>
      </c>
      <c r="G227" t="s">
        <v>442</v>
      </c>
      <c r="H227">
        <v>28297.5</v>
      </c>
    </row>
    <row r="228">
      <c r="A228" t="s">
        <v>44</v>
      </c>
      <c r="B228" t="s">
        <v>45</v>
      </c>
      <c r="C228" t="s">
        <v>88</v>
      </c>
      <c r="D228" t="s">
        <v>149</v>
      </c>
      <c r="E228" t="s">
        <v>443</v>
      </c>
      <c r="F228">
        <v>885500</v>
      </c>
      <c r="G228" t="s">
        <v>444</v>
      </c>
      <c r="H228">
        <v>1660312.5</v>
      </c>
    </row>
    <row r="229">
      <c r="A229" t="s">
        <v>44</v>
      </c>
      <c r="B229" t="s">
        <v>45</v>
      </c>
      <c r="C229" t="s">
        <v>89</v>
      </c>
      <c r="D229" t="s">
        <v>152</v>
      </c>
      <c r="E229" t="s">
        <v>445</v>
      </c>
      <c r="F229">
        <v>1644500</v>
      </c>
      <c r="G229" t="s">
        <v>446</v>
      </c>
      <c r="H229">
        <v>3083437.5</v>
      </c>
    </row>
    <row r="230">
      <c r="A230" t="s">
        <v>44</v>
      </c>
      <c r="B230" t="s">
        <v>45</v>
      </c>
      <c r="C230" t="s">
        <v>155</v>
      </c>
      <c r="D230" t="s">
        <v>156</v>
      </c>
      <c r="E230" t="s">
        <v>447</v>
      </c>
      <c r="F230">
        <v>6.891324200913242</v>
      </c>
      <c r="G230" t="s">
        <v>448</v>
      </c>
      <c r="H230">
        <v>12.92123287671233</v>
      </c>
    </row>
    <row r="231">
      <c r="A231" t="s">
        <v>44</v>
      </c>
      <c r="B231" t="s">
        <v>45</v>
      </c>
      <c r="C231" t="s">
        <v>159</v>
      </c>
      <c r="D231" t="s">
        <v>160</v>
      </c>
      <c r="E231" t="s">
        <v>449</v>
      </c>
      <c r="F231">
        <v>7</v>
      </c>
      <c r="G231" t="s">
        <v>450</v>
      </c>
      <c r="H231">
        <v>13</v>
      </c>
    </row>
    <row r="232">
      <c r="A232" t="s">
        <v>44</v>
      </c>
      <c r="B232" t="s">
        <v>45</v>
      </c>
      <c r="C232" t="s">
        <v>163</v>
      </c>
      <c r="D232" t="s">
        <v>164</v>
      </c>
      <c r="E232" t="s">
        <v>451</v>
      </c>
      <c r="F232">
        <v>1.4</v>
      </c>
      <c r="G232" t="s">
        <v>452</v>
      </c>
      <c r="H232">
        <v>1.8571428571428572</v>
      </c>
    </row>
    <row r="233">
      <c r="A233" t="s">
        <v>44</v>
      </c>
      <c r="B233" t="s">
        <v>45</v>
      </c>
      <c r="C233" t="s">
        <v>167</v>
      </c>
      <c r="D233" t="s">
        <v>168</v>
      </c>
      <c r="E233" t="s">
        <v>453</v>
      </c>
      <c r="F233">
        <v>2</v>
      </c>
      <c r="G233" t="s">
        <v>454</v>
      </c>
      <c r="H233">
        <v>2</v>
      </c>
    </row>
    <row r="234">
      <c r="A234" t="s">
        <v>44</v>
      </c>
      <c r="B234" t="s">
        <v>45</v>
      </c>
      <c r="C234" t="s">
        <v>171</v>
      </c>
      <c r="D234" t="s">
        <v>172</v>
      </c>
      <c r="E234" t="s">
        <v>455</v>
      </c>
      <c r="F234">
        <v>564000</v>
      </c>
      <c r="G234" t="s">
        <v>456</v>
      </c>
      <c r="H234">
        <v>876000</v>
      </c>
    </row>
    <row r="235">
      <c r="A235" t="s">
        <v>44</v>
      </c>
      <c r="B235" t="s">
        <v>45</v>
      </c>
      <c r="C235" t="s">
        <v>95</v>
      </c>
      <c r="D235" t="s">
        <v>175</v>
      </c>
      <c r="E235" t="s">
        <v>457</v>
      </c>
      <c r="F235">
        <v>321500</v>
      </c>
      <c r="G235" t="s">
        <v>458</v>
      </c>
      <c r="H235">
        <v>784312.5</v>
      </c>
    </row>
    <row r="236">
      <c r="A236" t="s">
        <v>44</v>
      </c>
      <c r="B236" t="s">
        <v>45</v>
      </c>
      <c r="C236" t="s">
        <v>178</v>
      </c>
      <c r="D236" t="s">
        <v>179</v>
      </c>
      <c r="E236" t="s">
        <v>459</v>
      </c>
      <c r="F236">
        <v>0.6369282891022021</v>
      </c>
      <c r="G236" t="s">
        <v>460</v>
      </c>
      <c r="H236">
        <v>0.5276115189158668</v>
      </c>
    </row>
    <row r="237">
      <c r="A237" t="s">
        <v>44</v>
      </c>
      <c r="B237" t="s">
        <v>45</v>
      </c>
      <c r="C237" t="s">
        <v>182</v>
      </c>
      <c r="D237" t="s">
        <v>183</v>
      </c>
      <c r="E237" t="s">
        <v>461</v>
      </c>
      <c r="F237">
        <v>0.5700354609929078</v>
      </c>
      <c r="G237" t="s">
        <v>462</v>
      </c>
      <c r="H237">
        <v>0.895333904109589</v>
      </c>
    </row>
    <row r="238">
      <c r="A238" t="s">
        <v>44</v>
      </c>
      <c r="B238" t="s">
        <v>45</v>
      </c>
      <c r="C238" t="s">
        <v>186</v>
      </c>
      <c r="D238" t="s">
        <v>187</v>
      </c>
      <c r="E238" t="s">
        <v>463</v>
      </c>
      <c r="F238">
        <v>26.127527216174183</v>
      </c>
      <c r="G238" t="s">
        <v>464</v>
      </c>
      <c r="H238">
        <v>17.595027492230457</v>
      </c>
    </row>
    <row r="239">
      <c r="A239" t="s">
        <v>44</v>
      </c>
      <c r="B239" t="s">
        <v>45</v>
      </c>
      <c r="C239" t="s">
        <v>190</v>
      </c>
      <c r="D239" t="s">
        <v>191</v>
      </c>
      <c r="E239" t="s">
        <v>465</v>
      </c>
      <c r="F239">
        <v>2208500</v>
      </c>
      <c r="G239" t="s">
        <v>466</v>
      </c>
      <c r="H239">
        <v>3959437.5</v>
      </c>
    </row>
    <row r="240">
      <c r="A240" t="s">
        <v>44</v>
      </c>
      <c r="B240" t="s">
        <v>45</v>
      </c>
      <c r="C240" t="s">
        <v>98</v>
      </c>
      <c r="D240" t="s">
        <v>194</v>
      </c>
      <c r="E240" t="s">
        <v>467</v>
      </c>
      <c r="F240">
        <v>0.8729249011857707</v>
      </c>
      <c r="G240" t="s">
        <v>468</v>
      </c>
      <c r="H240">
        <v>0.8346640316205534</v>
      </c>
    </row>
    <row r="241">
      <c r="A241" t="s">
        <v>44</v>
      </c>
      <c r="B241" t="s">
        <v>45</v>
      </c>
      <c r="C241" t="s">
        <v>99</v>
      </c>
      <c r="D241" t="s">
        <v>197</v>
      </c>
      <c r="E241" t="s">
        <v>469</v>
      </c>
      <c r="F241">
        <v>700000</v>
      </c>
      <c r="G241" t="s">
        <v>279</v>
      </c>
      <c r="H241">
        <v>1150000</v>
      </c>
    </row>
    <row r="242">
      <c r="A242" t="s">
        <v>44</v>
      </c>
      <c r="B242" t="s">
        <v>45</v>
      </c>
      <c r="C242" t="s">
        <v>101</v>
      </c>
      <c r="D242" t="s">
        <v>200</v>
      </c>
      <c r="E242" t="s">
        <v>470</v>
      </c>
      <c r="F242">
        <v>4.469387755102041</v>
      </c>
      <c r="G242" t="s">
        <v>470</v>
      </c>
      <c r="H242">
        <v>4.469387755102041</v>
      </c>
    </row>
    <row r="243">
      <c r="A243" t="s">
        <v>44</v>
      </c>
      <c r="B243" t="s">
        <v>45</v>
      </c>
      <c r="C243" t="s">
        <v>202</v>
      </c>
      <c r="D243" t="s">
        <v>203</v>
      </c>
      <c r="E243" t="s">
        <v>471</v>
      </c>
      <c r="F243">
        <v>1.58125</v>
      </c>
      <c r="G243" t="s">
        <v>472</v>
      </c>
      <c r="H243">
        <v>1.58125</v>
      </c>
    </row>
    <row r="244">
      <c r="A244" t="s">
        <v>44</v>
      </c>
      <c r="B244" t="s">
        <v>45</v>
      </c>
      <c r="C244" t="s">
        <v>206</v>
      </c>
      <c r="D244" t="s">
        <v>207</v>
      </c>
      <c r="E244" t="s">
        <v>473</v>
      </c>
      <c r="F244">
        <v>0.3525</v>
      </c>
      <c r="G244" t="s">
        <v>474</v>
      </c>
      <c r="H244">
        <v>0.292</v>
      </c>
    </row>
    <row r="245">
      <c r="A245" t="s">
        <v>44</v>
      </c>
      <c r="B245" t="s">
        <v>45</v>
      </c>
      <c r="C245" t="s">
        <v>210</v>
      </c>
      <c r="D245" t="s">
        <v>211</v>
      </c>
      <c r="E245" t="s">
        <v>475</v>
      </c>
      <c r="F245">
        <v>0.2009375</v>
      </c>
      <c r="G245" t="s">
        <v>476</v>
      </c>
      <c r="H245">
        <v>0.2614375</v>
      </c>
    </row>
    <row r="246">
      <c r="A246" t="s">
        <v>44</v>
      </c>
      <c r="B246" t="s">
        <v>45</v>
      </c>
      <c r="C246" t="s">
        <v>214</v>
      </c>
    </row>
    <row r="247">
      <c r="A247" t="s">
        <v>44</v>
      </c>
      <c r="B247" t="s">
        <v>45</v>
      </c>
      <c r="C247" t="s">
        <v>215</v>
      </c>
      <c r="D247" t="s">
        <v>216</v>
      </c>
      <c r="E247" t="s">
        <v>217</v>
      </c>
      <c r="F247">
        <v>24</v>
      </c>
    </row>
    <row r="248">
      <c r="A248" t="s">
        <v>44</v>
      </c>
      <c r="B248" t="s">
        <v>45</v>
      </c>
      <c r="C248" t="s">
        <v>218</v>
      </c>
      <c r="D248" t="s">
        <v>216</v>
      </c>
      <c r="E248" t="s">
        <v>219</v>
      </c>
      <c r="F248">
        <v>365</v>
      </c>
    </row>
    <row r="249">
      <c r="A249" t="s">
        <v>44</v>
      </c>
      <c r="B249" t="s">
        <v>45</v>
      </c>
      <c r="C249" t="s">
        <v>220</v>
      </c>
      <c r="D249" t="s">
        <v>216</v>
      </c>
      <c r="E249" t="s">
        <v>221</v>
      </c>
      <c r="F249">
        <v>1</v>
      </c>
    </row>
    <row r="250">
      <c r="A250" t="s">
        <v>44</v>
      </c>
      <c r="B250" t="s">
        <v>45</v>
      </c>
      <c r="C250" t="s">
        <v>222</v>
      </c>
      <c r="D250" t="s">
        <v>223</v>
      </c>
      <c r="E250" t="s">
        <v>224</v>
      </c>
      <c r="F250">
        <v>52000</v>
      </c>
    </row>
    <row r="251">
      <c r="A251" t="s">
        <v>44</v>
      </c>
      <c r="B251" t="s">
        <v>45</v>
      </c>
      <c r="C251" t="s">
        <v>225</v>
      </c>
      <c r="D251" t="s">
        <v>223</v>
      </c>
      <c r="E251" t="s">
        <v>226</v>
      </c>
      <c r="F251">
        <v>100000</v>
      </c>
    </row>
    <row r="252">
      <c r="A252" t="s">
        <v>44</v>
      </c>
      <c r="B252" t="s">
        <v>45</v>
      </c>
      <c r="C252" t="s">
        <v>227</v>
      </c>
      <c r="D252" t="s">
        <v>216</v>
      </c>
      <c r="E252" t="s">
        <v>228</v>
      </c>
      <c r="F252">
        <v>5</v>
      </c>
    </row>
    <row r="253">
      <c r="A253" t="s">
        <v>44</v>
      </c>
      <c r="B253" t="s">
        <v>45</v>
      </c>
      <c r="C253" t="s">
        <v>229</v>
      </c>
      <c r="D253" t="s">
        <v>216</v>
      </c>
      <c r="E253" t="s">
        <v>230</v>
      </c>
      <c r="F253">
        <v>7</v>
      </c>
    </row>
    <row r="254">
      <c r="A254" t="s">
        <v>44</v>
      </c>
      <c r="B254" t="s">
        <v>45</v>
      </c>
      <c r="C254" t="s">
        <v>231</v>
      </c>
      <c r="D254" t="s">
        <v>223</v>
      </c>
      <c r="E254" t="s">
        <v>232</v>
      </c>
      <c r="F254">
        <v>175000</v>
      </c>
    </row>
    <row r="255">
      <c r="A255" t="s">
        <v>44</v>
      </c>
      <c r="B255" t="s">
        <v>45</v>
      </c>
      <c r="C255" t="s">
        <v>233</v>
      </c>
      <c r="D255" t="s">
        <v>223</v>
      </c>
      <c r="E255" t="s">
        <v>234</v>
      </c>
      <c r="F255">
        <v>75000</v>
      </c>
    </row>
    <row r="256">
      <c r="A256" t="s">
        <v>44</v>
      </c>
      <c r="B256" t="s">
        <v>45</v>
      </c>
      <c r="C256" t="s">
        <v>235</v>
      </c>
      <c r="D256" t="s">
        <v>216</v>
      </c>
      <c r="E256" t="s">
        <v>236</v>
      </c>
      <c r="F256">
        <v>0.25</v>
      </c>
    </row>
    <row r="257">
      <c r="A257" t="s">
        <v>44</v>
      </c>
      <c r="B257" t="s">
        <v>45</v>
      </c>
      <c r="C257" t="s">
        <v>237</v>
      </c>
      <c r="D257" t="s">
        <v>216</v>
      </c>
      <c r="E257" t="s">
        <v>238</v>
      </c>
      <c r="F257">
        <v>0.35</v>
      </c>
    </row>
    <row r="258">
      <c r="A258" t="s">
        <v>44</v>
      </c>
      <c r="B258" t="s">
        <v>45</v>
      </c>
      <c r="C258" t="s">
        <v>239</v>
      </c>
      <c r="D258" t="s">
        <v>216</v>
      </c>
      <c r="E258" t="s">
        <v>240</v>
      </c>
    </row>
    <row r="260">
      <c r="A260" t="s">
        <v>49</v>
      </c>
      <c r="B260" t="s">
        <v>50</v>
      </c>
      <c r="C260" t="s">
        <v>113</v>
      </c>
      <c r="D260" t="s">
        <v>114</v>
      </c>
      <c r="E260" t="s">
        <v>477</v>
      </c>
      <c r="F260">
        <v>950000</v>
      </c>
      <c r="G260" t="s">
        <v>478</v>
      </c>
      <c r="H260">
        <v>1700000</v>
      </c>
    </row>
    <row r="261">
      <c r="A261" t="s">
        <v>49</v>
      </c>
      <c r="B261" t="s">
        <v>50</v>
      </c>
      <c r="C261" t="s">
        <v>77</v>
      </c>
      <c r="D261" t="s">
        <v>117</v>
      </c>
      <c r="E261" t="s">
        <v>118</v>
      </c>
      <c r="F261">
        <v>1</v>
      </c>
      <c r="G261" t="s">
        <v>479</v>
      </c>
      <c r="H261">
        <v>1.7894736842105263</v>
      </c>
    </row>
    <row r="262">
      <c r="A262" t="s">
        <v>49</v>
      </c>
      <c r="B262" t="s">
        <v>50</v>
      </c>
      <c r="C262" t="s">
        <v>79</v>
      </c>
      <c r="D262" t="s">
        <v>120</v>
      </c>
      <c r="E262" t="s">
        <v>480</v>
      </c>
      <c r="F262">
        <v>16</v>
      </c>
      <c r="G262" t="s">
        <v>481</v>
      </c>
      <c r="H262">
        <v>28.63157894736842</v>
      </c>
    </row>
    <row r="263">
      <c r="A263" t="s">
        <v>49</v>
      </c>
      <c r="B263" t="s">
        <v>50</v>
      </c>
      <c r="C263" t="s">
        <v>123</v>
      </c>
      <c r="D263" t="s">
        <v>124</v>
      </c>
      <c r="E263" t="s">
        <v>482</v>
      </c>
      <c r="F263">
        <v>32000</v>
      </c>
      <c r="G263" t="s">
        <v>483</v>
      </c>
      <c r="H263">
        <v>57263.15789473684</v>
      </c>
    </row>
    <row r="264">
      <c r="A264" t="s">
        <v>49</v>
      </c>
      <c r="B264" t="s">
        <v>50</v>
      </c>
      <c r="C264" t="s">
        <v>127</v>
      </c>
      <c r="D264" t="s">
        <v>128</v>
      </c>
      <c r="E264" t="s">
        <v>484</v>
      </c>
      <c r="F264">
        <v>1792000</v>
      </c>
      <c r="G264" t="s">
        <v>485</v>
      </c>
      <c r="H264">
        <v>3206736.8421052634</v>
      </c>
    </row>
    <row r="265">
      <c r="A265" t="s">
        <v>49</v>
      </c>
      <c r="B265" t="s">
        <v>50</v>
      </c>
      <c r="C265" t="s">
        <v>131</v>
      </c>
      <c r="D265" t="s">
        <v>132</v>
      </c>
      <c r="E265" t="s">
        <v>486</v>
      </c>
      <c r="F265">
        <v>56</v>
      </c>
      <c r="G265" t="s">
        <v>486</v>
      </c>
      <c r="H265">
        <v>56</v>
      </c>
    </row>
    <row r="266">
      <c r="A266" t="s">
        <v>49</v>
      </c>
      <c r="B266" t="s">
        <v>50</v>
      </c>
      <c r="C266" t="s">
        <v>134</v>
      </c>
      <c r="D266" t="s">
        <v>135</v>
      </c>
      <c r="E266" t="s">
        <v>136</v>
      </c>
      <c r="F266">
        <v>8760</v>
      </c>
      <c r="G266" t="s">
        <v>136</v>
      </c>
      <c r="H266">
        <v>8760</v>
      </c>
    </row>
    <row r="267">
      <c r="A267" t="s">
        <v>49</v>
      </c>
      <c r="B267" t="s">
        <v>50</v>
      </c>
      <c r="C267" t="s">
        <v>137</v>
      </c>
      <c r="D267" t="s">
        <v>138</v>
      </c>
      <c r="E267" t="s">
        <v>139</v>
      </c>
      <c r="F267">
        <v>0.25</v>
      </c>
      <c r="G267" t="s">
        <v>139</v>
      </c>
      <c r="H267">
        <v>0.25</v>
      </c>
    </row>
    <row r="268">
      <c r="A268" t="s">
        <v>49</v>
      </c>
      <c r="B268" t="s">
        <v>50</v>
      </c>
      <c r="C268" t="s">
        <v>140</v>
      </c>
      <c r="D268" t="s">
        <v>141</v>
      </c>
      <c r="E268" t="s">
        <v>142</v>
      </c>
      <c r="F268">
        <v>2190</v>
      </c>
      <c r="G268" t="s">
        <v>142</v>
      </c>
      <c r="H268">
        <v>2190</v>
      </c>
    </row>
    <row r="269">
      <c r="A269" t="s">
        <v>49</v>
      </c>
      <c r="B269" t="s">
        <v>50</v>
      </c>
      <c r="C269" t="s">
        <v>143</v>
      </c>
      <c r="D269" t="s">
        <v>144</v>
      </c>
      <c r="E269" t="s">
        <v>145</v>
      </c>
      <c r="F269">
        <v>0.35</v>
      </c>
      <c r="G269" t="s">
        <v>145</v>
      </c>
      <c r="H269">
        <v>0.35</v>
      </c>
    </row>
    <row r="270">
      <c r="A270" t="s">
        <v>49</v>
      </c>
      <c r="B270" t="s">
        <v>50</v>
      </c>
      <c r="C270" t="s">
        <v>87</v>
      </c>
      <c r="D270" t="s">
        <v>146</v>
      </c>
      <c r="E270" t="s">
        <v>487</v>
      </c>
      <c r="F270">
        <v>11200</v>
      </c>
      <c r="G270" t="s">
        <v>488</v>
      </c>
      <c r="H270">
        <v>20042.105263157893</v>
      </c>
    </row>
    <row r="271">
      <c r="A271" t="s">
        <v>49</v>
      </c>
      <c r="B271" t="s">
        <v>50</v>
      </c>
      <c r="C271" t="s">
        <v>88</v>
      </c>
      <c r="D271" t="s">
        <v>149</v>
      </c>
      <c r="E271" t="s">
        <v>489</v>
      </c>
      <c r="F271">
        <v>627200</v>
      </c>
      <c r="G271" t="s">
        <v>490</v>
      </c>
      <c r="H271">
        <v>1122357.894736842</v>
      </c>
    </row>
    <row r="272">
      <c r="A272" t="s">
        <v>49</v>
      </c>
      <c r="B272" t="s">
        <v>50</v>
      </c>
      <c r="C272" t="s">
        <v>89</v>
      </c>
      <c r="D272" t="s">
        <v>152</v>
      </c>
      <c r="E272" t="s">
        <v>491</v>
      </c>
      <c r="F272">
        <v>1164800</v>
      </c>
      <c r="G272" t="s">
        <v>492</v>
      </c>
      <c r="H272">
        <v>2084378.9473684214</v>
      </c>
    </row>
    <row r="273">
      <c r="A273" t="s">
        <v>49</v>
      </c>
      <c r="B273" t="s">
        <v>50</v>
      </c>
      <c r="C273" t="s">
        <v>155</v>
      </c>
      <c r="D273" t="s">
        <v>156</v>
      </c>
      <c r="E273" t="s">
        <v>493</v>
      </c>
      <c r="F273">
        <v>5.114155251141552</v>
      </c>
      <c r="G273" t="s">
        <v>494</v>
      </c>
      <c r="H273">
        <v>9.151646238884883</v>
      </c>
    </row>
    <row r="274">
      <c r="A274" t="s">
        <v>49</v>
      </c>
      <c r="B274" t="s">
        <v>50</v>
      </c>
      <c r="C274" t="s">
        <v>159</v>
      </c>
      <c r="D274" t="s">
        <v>160</v>
      </c>
      <c r="E274" t="s">
        <v>495</v>
      </c>
      <c r="F274">
        <v>6</v>
      </c>
      <c r="G274" t="s">
        <v>496</v>
      </c>
      <c r="H274">
        <v>10</v>
      </c>
    </row>
    <row r="275">
      <c r="A275" t="s">
        <v>49</v>
      </c>
      <c r="B275" t="s">
        <v>50</v>
      </c>
      <c r="C275" t="s">
        <v>163</v>
      </c>
      <c r="D275" t="s">
        <v>164</v>
      </c>
      <c r="E275" t="s">
        <v>497</v>
      </c>
      <c r="F275">
        <v>1.2</v>
      </c>
      <c r="G275" t="s">
        <v>498</v>
      </c>
      <c r="H275">
        <v>1.4285714285714286</v>
      </c>
    </row>
    <row r="276">
      <c r="A276" t="s">
        <v>49</v>
      </c>
      <c r="B276" t="s">
        <v>50</v>
      </c>
      <c r="C276" t="s">
        <v>167</v>
      </c>
      <c r="D276" t="s">
        <v>168</v>
      </c>
      <c r="E276" t="s">
        <v>499</v>
      </c>
      <c r="F276">
        <v>2</v>
      </c>
      <c r="G276" t="s">
        <v>500</v>
      </c>
      <c r="H276">
        <v>2</v>
      </c>
    </row>
    <row r="277">
      <c r="A277" t="s">
        <v>49</v>
      </c>
      <c r="B277" t="s">
        <v>50</v>
      </c>
      <c r="C277" t="s">
        <v>171</v>
      </c>
      <c r="D277" t="s">
        <v>172</v>
      </c>
      <c r="E277" t="s">
        <v>501</v>
      </c>
      <c r="F277">
        <v>512000</v>
      </c>
      <c r="G277" t="s">
        <v>502</v>
      </c>
      <c r="H277">
        <v>720000</v>
      </c>
    </row>
    <row r="278">
      <c r="A278" t="s">
        <v>49</v>
      </c>
      <c r="B278" t="s">
        <v>50</v>
      </c>
      <c r="C278" t="s">
        <v>95</v>
      </c>
      <c r="D278" t="s">
        <v>175</v>
      </c>
      <c r="E278" t="s">
        <v>503</v>
      </c>
      <c r="F278">
        <v>115200</v>
      </c>
      <c r="G278" t="s">
        <v>504</v>
      </c>
      <c r="H278">
        <v>402357.894736842</v>
      </c>
    </row>
    <row r="279">
      <c r="A279" t="s">
        <v>49</v>
      </c>
      <c r="B279" t="s">
        <v>50</v>
      </c>
      <c r="C279" t="s">
        <v>178</v>
      </c>
      <c r="D279" t="s">
        <v>179</v>
      </c>
      <c r="E279" t="s">
        <v>505</v>
      </c>
      <c r="F279">
        <v>0.8163265306122449</v>
      </c>
      <c r="G279" t="s">
        <v>506</v>
      </c>
      <c r="H279">
        <v>0.6415066026410565</v>
      </c>
    </row>
    <row r="280">
      <c r="A280" t="s">
        <v>49</v>
      </c>
      <c r="B280" t="s">
        <v>50</v>
      </c>
      <c r="C280" t="s">
        <v>182</v>
      </c>
      <c r="D280" t="s">
        <v>183</v>
      </c>
      <c r="E280" t="s">
        <v>507</v>
      </c>
      <c r="F280">
        <v>0.225</v>
      </c>
      <c r="G280" t="s">
        <v>508</v>
      </c>
      <c r="H280">
        <v>0.558830409356725</v>
      </c>
    </row>
    <row r="281">
      <c r="A281" t="s">
        <v>49</v>
      </c>
      <c r="B281" t="s">
        <v>50</v>
      </c>
      <c r="C281" t="s">
        <v>186</v>
      </c>
      <c r="D281" t="s">
        <v>187</v>
      </c>
      <c r="E281" t="s">
        <v>509</v>
      </c>
      <c r="F281">
        <v>65.10416666666667</v>
      </c>
      <c r="G281" t="s">
        <v>510</v>
      </c>
      <c r="H281">
        <v>27.587379656760156</v>
      </c>
    </row>
    <row r="282">
      <c r="A282" t="s">
        <v>49</v>
      </c>
      <c r="B282" t="s">
        <v>50</v>
      </c>
      <c r="C282" t="s">
        <v>190</v>
      </c>
      <c r="D282" t="s">
        <v>191</v>
      </c>
      <c r="E282" t="s">
        <v>511</v>
      </c>
      <c r="F282">
        <v>1676800</v>
      </c>
      <c r="G282" t="s">
        <v>512</v>
      </c>
      <c r="H282">
        <v>2804378.9473684216</v>
      </c>
    </row>
    <row r="283">
      <c r="A283" t="s">
        <v>49</v>
      </c>
      <c r="B283" t="s">
        <v>50</v>
      </c>
      <c r="C283" t="s">
        <v>98</v>
      </c>
      <c r="D283" t="s">
        <v>194</v>
      </c>
      <c r="E283" t="s">
        <v>513</v>
      </c>
      <c r="F283">
        <v>0.9357142857142857</v>
      </c>
      <c r="G283" t="s">
        <v>514</v>
      </c>
      <c r="H283">
        <v>0.8745273109243699</v>
      </c>
    </row>
    <row r="284">
      <c r="A284" t="s">
        <v>49</v>
      </c>
      <c r="B284" t="s">
        <v>50</v>
      </c>
      <c r="C284" t="s">
        <v>99</v>
      </c>
      <c r="D284" t="s">
        <v>197</v>
      </c>
      <c r="E284" t="s">
        <v>515</v>
      </c>
      <c r="F284">
        <v>625000</v>
      </c>
      <c r="G284" t="s">
        <v>516</v>
      </c>
      <c r="H284">
        <v>925000</v>
      </c>
    </row>
    <row r="285">
      <c r="A285" t="s">
        <v>49</v>
      </c>
      <c r="B285" t="s">
        <v>50</v>
      </c>
      <c r="C285" t="s">
        <v>101</v>
      </c>
      <c r="D285" t="s">
        <v>200</v>
      </c>
      <c r="E285" t="s">
        <v>281</v>
      </c>
      <c r="F285">
        <v>4.38</v>
      </c>
      <c r="G285" t="s">
        <v>281</v>
      </c>
      <c r="H285">
        <v>4.38</v>
      </c>
    </row>
    <row r="286">
      <c r="A286" t="s">
        <v>49</v>
      </c>
      <c r="B286" t="s">
        <v>50</v>
      </c>
      <c r="C286" t="s">
        <v>202</v>
      </c>
      <c r="D286" t="s">
        <v>203</v>
      </c>
      <c r="E286" t="s">
        <v>517</v>
      </c>
      <c r="F286">
        <v>1.8863157894736842</v>
      </c>
      <c r="G286" t="s">
        <v>518</v>
      </c>
      <c r="H286">
        <v>1.8863157894736844</v>
      </c>
    </row>
    <row r="287">
      <c r="A287" t="s">
        <v>49</v>
      </c>
      <c r="B287" t="s">
        <v>50</v>
      </c>
      <c r="C287" t="s">
        <v>206</v>
      </c>
      <c r="D287" t="s">
        <v>207</v>
      </c>
      <c r="E287" t="s">
        <v>519</v>
      </c>
      <c r="F287">
        <v>0.5389473684210526</v>
      </c>
      <c r="G287" t="s">
        <v>520</v>
      </c>
      <c r="H287">
        <v>0.4235294117647059</v>
      </c>
    </row>
    <row r="288">
      <c r="A288" t="s">
        <v>49</v>
      </c>
      <c r="B288" t="s">
        <v>50</v>
      </c>
      <c r="C288" t="s">
        <v>210</v>
      </c>
      <c r="D288" t="s">
        <v>211</v>
      </c>
      <c r="E288" t="s">
        <v>521</v>
      </c>
      <c r="F288">
        <v>0.12126315789473684</v>
      </c>
      <c r="G288" t="s">
        <v>522</v>
      </c>
      <c r="H288">
        <v>0.23668111455108354</v>
      </c>
    </row>
    <row r="289">
      <c r="A289" t="s">
        <v>49</v>
      </c>
      <c r="B289" t="s">
        <v>50</v>
      </c>
      <c r="C289" t="s">
        <v>214</v>
      </c>
    </row>
    <row r="290">
      <c r="A290" t="s">
        <v>49</v>
      </c>
      <c r="B290" t="s">
        <v>50</v>
      </c>
      <c r="C290" t="s">
        <v>215</v>
      </c>
      <c r="D290" t="s">
        <v>216</v>
      </c>
      <c r="E290" t="s">
        <v>217</v>
      </c>
      <c r="F290">
        <v>24</v>
      </c>
    </row>
    <row r="291">
      <c r="A291" t="s">
        <v>49</v>
      </c>
      <c r="B291" t="s">
        <v>50</v>
      </c>
      <c r="C291" t="s">
        <v>218</v>
      </c>
      <c r="D291" t="s">
        <v>216</v>
      </c>
      <c r="E291" t="s">
        <v>219</v>
      </c>
      <c r="F291">
        <v>365</v>
      </c>
    </row>
    <row r="292">
      <c r="A292" t="s">
        <v>49</v>
      </c>
      <c r="B292" t="s">
        <v>50</v>
      </c>
      <c r="C292" t="s">
        <v>220</v>
      </c>
      <c r="D292" t="s">
        <v>216</v>
      </c>
      <c r="E292" t="s">
        <v>221</v>
      </c>
      <c r="F292">
        <v>1</v>
      </c>
    </row>
    <row r="293">
      <c r="A293" t="s">
        <v>49</v>
      </c>
      <c r="B293" t="s">
        <v>50</v>
      </c>
      <c r="C293" t="s">
        <v>222</v>
      </c>
      <c r="D293" t="s">
        <v>223</v>
      </c>
      <c r="E293" t="s">
        <v>224</v>
      </c>
      <c r="F293">
        <v>52000</v>
      </c>
    </row>
    <row r="294">
      <c r="A294" t="s">
        <v>49</v>
      </c>
      <c r="B294" t="s">
        <v>50</v>
      </c>
      <c r="C294" t="s">
        <v>225</v>
      </c>
      <c r="D294" t="s">
        <v>223</v>
      </c>
      <c r="E294" t="s">
        <v>226</v>
      </c>
      <c r="F294">
        <v>100000</v>
      </c>
    </row>
    <row r="295">
      <c r="A295" t="s">
        <v>49</v>
      </c>
      <c r="B295" t="s">
        <v>50</v>
      </c>
      <c r="C295" t="s">
        <v>227</v>
      </c>
      <c r="D295" t="s">
        <v>216</v>
      </c>
      <c r="E295" t="s">
        <v>228</v>
      </c>
      <c r="F295">
        <v>5</v>
      </c>
    </row>
    <row r="296">
      <c r="A296" t="s">
        <v>49</v>
      </c>
      <c r="B296" t="s">
        <v>50</v>
      </c>
      <c r="C296" t="s">
        <v>229</v>
      </c>
      <c r="D296" t="s">
        <v>216</v>
      </c>
      <c r="E296" t="s">
        <v>230</v>
      </c>
      <c r="F296">
        <v>7</v>
      </c>
    </row>
    <row r="297">
      <c r="A297" t="s">
        <v>49</v>
      </c>
      <c r="B297" t="s">
        <v>50</v>
      </c>
      <c r="C297" t="s">
        <v>231</v>
      </c>
      <c r="D297" t="s">
        <v>223</v>
      </c>
      <c r="E297" t="s">
        <v>232</v>
      </c>
      <c r="F297">
        <v>175000</v>
      </c>
    </row>
    <row r="298">
      <c r="A298" t="s">
        <v>49</v>
      </c>
      <c r="B298" t="s">
        <v>50</v>
      </c>
      <c r="C298" t="s">
        <v>233</v>
      </c>
      <c r="D298" t="s">
        <v>223</v>
      </c>
      <c r="E298" t="s">
        <v>234</v>
      </c>
      <c r="F298">
        <v>75000</v>
      </c>
    </row>
    <row r="299">
      <c r="A299" t="s">
        <v>49</v>
      </c>
      <c r="B299" t="s">
        <v>50</v>
      </c>
      <c r="C299" t="s">
        <v>235</v>
      </c>
      <c r="D299" t="s">
        <v>216</v>
      </c>
      <c r="E299" t="s">
        <v>236</v>
      </c>
      <c r="F299">
        <v>0.25</v>
      </c>
    </row>
    <row r="300">
      <c r="A300" t="s">
        <v>49</v>
      </c>
      <c r="B300" t="s">
        <v>50</v>
      </c>
      <c r="C300" t="s">
        <v>237</v>
      </c>
      <c r="D300" t="s">
        <v>216</v>
      </c>
      <c r="E300" t="s">
        <v>238</v>
      </c>
      <c r="F300">
        <v>0.35</v>
      </c>
    </row>
    <row r="301">
      <c r="A301" t="s">
        <v>49</v>
      </c>
      <c r="B301" t="s">
        <v>50</v>
      </c>
      <c r="C301" t="s">
        <v>239</v>
      </c>
      <c r="D301" t="s">
        <v>216</v>
      </c>
      <c r="E301" t="s">
        <v>240</v>
      </c>
    </row>
    <row r="303">
      <c r="A303" t="s">
        <v>53</v>
      </c>
      <c r="B303" t="s">
        <v>54</v>
      </c>
      <c r="C303" t="s">
        <v>57</v>
      </c>
      <c r="D303" t="s">
        <v>523</v>
      </c>
    </row>
    <row r="305">
      <c r="A305" t="s">
        <v>58</v>
      </c>
      <c r="B305" t="s">
        <v>59</v>
      </c>
      <c r="C305" t="s">
        <v>113</v>
      </c>
      <c r="D305" t="s">
        <v>114</v>
      </c>
      <c r="E305" t="s">
        <v>524</v>
      </c>
      <c r="F305">
        <v>7400000</v>
      </c>
      <c r="G305" t="s">
        <v>525</v>
      </c>
      <c r="H305">
        <v>14000000</v>
      </c>
    </row>
    <row r="306">
      <c r="A306" t="s">
        <v>58</v>
      </c>
      <c r="B306" t="s">
        <v>59</v>
      </c>
      <c r="C306" t="s">
        <v>77</v>
      </c>
      <c r="D306" t="s">
        <v>117</v>
      </c>
      <c r="E306" t="s">
        <v>118</v>
      </c>
      <c r="F306">
        <v>1</v>
      </c>
      <c r="G306" t="s">
        <v>526</v>
      </c>
      <c r="H306">
        <v>1.8918918918918919</v>
      </c>
    </row>
    <row r="307">
      <c r="A307" t="s">
        <v>58</v>
      </c>
      <c r="B307" t="s">
        <v>59</v>
      </c>
      <c r="C307" t="s">
        <v>79</v>
      </c>
      <c r="D307" t="s">
        <v>120</v>
      </c>
      <c r="E307" t="s">
        <v>527</v>
      </c>
      <c r="F307">
        <v>105</v>
      </c>
      <c r="G307" t="s">
        <v>528</v>
      </c>
      <c r="H307">
        <v>198.64864864864865</v>
      </c>
    </row>
    <row r="308">
      <c r="A308" t="s">
        <v>58</v>
      </c>
      <c r="B308" t="s">
        <v>59</v>
      </c>
      <c r="C308" t="s">
        <v>123</v>
      </c>
      <c r="D308" t="s">
        <v>124</v>
      </c>
      <c r="E308" t="s">
        <v>529</v>
      </c>
      <c r="F308">
        <v>327600</v>
      </c>
      <c r="G308" t="s">
        <v>530</v>
      </c>
      <c r="H308">
        <v>619783.7837837838</v>
      </c>
    </row>
    <row r="309">
      <c r="A309" t="s">
        <v>58</v>
      </c>
      <c r="B309" t="s">
        <v>59</v>
      </c>
      <c r="C309" t="s">
        <v>127</v>
      </c>
      <c r="D309" t="s">
        <v>128</v>
      </c>
      <c r="E309" t="s">
        <v>531</v>
      </c>
      <c r="F309">
        <v>7770000</v>
      </c>
      <c r="G309" t="s">
        <v>532</v>
      </c>
      <c r="H309">
        <v>14700000</v>
      </c>
    </row>
    <row r="310">
      <c r="A310" t="s">
        <v>58</v>
      </c>
      <c r="B310" t="s">
        <v>59</v>
      </c>
      <c r="C310" t="s">
        <v>131</v>
      </c>
      <c r="D310" t="s">
        <v>132</v>
      </c>
      <c r="E310" t="s">
        <v>533</v>
      </c>
      <c r="F310">
        <v>23.71794871794872</v>
      </c>
      <c r="G310" t="s">
        <v>533</v>
      </c>
      <c r="H310">
        <v>23.71794871794872</v>
      </c>
    </row>
    <row r="311">
      <c r="A311" t="s">
        <v>58</v>
      </c>
      <c r="B311" t="s">
        <v>59</v>
      </c>
      <c r="C311" t="s">
        <v>134</v>
      </c>
      <c r="D311" t="s">
        <v>135</v>
      </c>
      <c r="E311" t="s">
        <v>136</v>
      </c>
      <c r="F311">
        <v>8760</v>
      </c>
      <c r="G311" t="s">
        <v>136</v>
      </c>
      <c r="H311">
        <v>8760</v>
      </c>
    </row>
    <row r="312">
      <c r="A312" t="s">
        <v>58</v>
      </c>
      <c r="B312" t="s">
        <v>59</v>
      </c>
      <c r="C312" t="s">
        <v>137</v>
      </c>
      <c r="D312" t="s">
        <v>138</v>
      </c>
      <c r="E312" t="s">
        <v>139</v>
      </c>
      <c r="F312">
        <v>0.25</v>
      </c>
      <c r="G312" t="s">
        <v>139</v>
      </c>
      <c r="H312">
        <v>0.25</v>
      </c>
    </row>
    <row r="313">
      <c r="A313" t="s">
        <v>58</v>
      </c>
      <c r="B313" t="s">
        <v>59</v>
      </c>
      <c r="C313" t="s">
        <v>140</v>
      </c>
      <c r="D313" t="s">
        <v>141</v>
      </c>
      <c r="E313" t="s">
        <v>142</v>
      </c>
      <c r="F313">
        <v>2190</v>
      </c>
      <c r="G313" t="s">
        <v>142</v>
      </c>
      <c r="H313">
        <v>2190</v>
      </c>
    </row>
    <row r="314">
      <c r="A314" t="s">
        <v>58</v>
      </c>
      <c r="B314" t="s">
        <v>59</v>
      </c>
      <c r="C314" t="s">
        <v>143</v>
      </c>
      <c r="D314" t="s">
        <v>144</v>
      </c>
      <c r="E314" t="s">
        <v>145</v>
      </c>
      <c r="F314">
        <v>0.35</v>
      </c>
      <c r="G314" t="s">
        <v>145</v>
      </c>
      <c r="H314">
        <v>0.35</v>
      </c>
    </row>
    <row r="315">
      <c r="A315" t="s">
        <v>58</v>
      </c>
      <c r="B315" t="s">
        <v>59</v>
      </c>
      <c r="C315" t="s">
        <v>87</v>
      </c>
      <c r="D315" t="s">
        <v>146</v>
      </c>
      <c r="E315" t="s">
        <v>534</v>
      </c>
      <c r="F315">
        <v>114660</v>
      </c>
      <c r="G315" t="s">
        <v>535</v>
      </c>
      <c r="H315">
        <v>216924.32432432432</v>
      </c>
    </row>
    <row r="316">
      <c r="A316" t="s">
        <v>58</v>
      </c>
      <c r="B316" t="s">
        <v>59</v>
      </c>
      <c r="C316" t="s">
        <v>88</v>
      </c>
      <c r="D316" t="s">
        <v>149</v>
      </c>
      <c r="E316" t="s">
        <v>536</v>
      </c>
      <c r="F316">
        <v>2719500</v>
      </c>
      <c r="G316" t="s">
        <v>537</v>
      </c>
      <c r="H316">
        <v>5145000</v>
      </c>
    </row>
    <row r="317">
      <c r="A317" t="s">
        <v>58</v>
      </c>
      <c r="B317" t="s">
        <v>59</v>
      </c>
      <c r="C317" t="s">
        <v>89</v>
      </c>
      <c r="D317" t="s">
        <v>152</v>
      </c>
      <c r="E317" t="s">
        <v>538</v>
      </c>
      <c r="F317">
        <v>5050500</v>
      </c>
      <c r="G317" t="s">
        <v>539</v>
      </c>
      <c r="H317">
        <v>9555000</v>
      </c>
    </row>
    <row r="318">
      <c r="A318" t="s">
        <v>58</v>
      </c>
      <c r="B318" t="s">
        <v>59</v>
      </c>
      <c r="C318" t="s">
        <v>155</v>
      </c>
      <c r="D318" t="s">
        <v>156</v>
      </c>
      <c r="E318" t="s">
        <v>540</v>
      </c>
      <c r="F318">
        <v>52.35616438356164</v>
      </c>
      <c r="G318" t="s">
        <v>541</v>
      </c>
      <c r="H318">
        <v>99.05220288781932</v>
      </c>
    </row>
    <row r="319">
      <c r="A319" t="s">
        <v>58</v>
      </c>
      <c r="B319" t="s">
        <v>59</v>
      </c>
      <c r="C319" t="s">
        <v>159</v>
      </c>
      <c r="D319" t="s">
        <v>160</v>
      </c>
      <c r="E319" t="s">
        <v>542</v>
      </c>
      <c r="F319">
        <v>53</v>
      </c>
      <c r="G319" t="s">
        <v>543</v>
      </c>
      <c r="H319">
        <v>100</v>
      </c>
    </row>
    <row r="320">
      <c r="A320" t="s">
        <v>58</v>
      </c>
      <c r="B320" t="s">
        <v>59</v>
      </c>
      <c r="C320" t="s">
        <v>163</v>
      </c>
      <c r="D320" t="s">
        <v>164</v>
      </c>
      <c r="E320" t="s">
        <v>544</v>
      </c>
      <c r="F320">
        <v>10.6</v>
      </c>
      <c r="G320" t="s">
        <v>545</v>
      </c>
      <c r="H320">
        <v>14.285714285714286</v>
      </c>
    </row>
    <row r="321">
      <c r="A321" t="s">
        <v>58</v>
      </c>
      <c r="B321" t="s">
        <v>59</v>
      </c>
      <c r="C321" t="s">
        <v>167</v>
      </c>
      <c r="D321" t="s">
        <v>168</v>
      </c>
      <c r="E321" t="s">
        <v>546</v>
      </c>
      <c r="F321">
        <v>11</v>
      </c>
      <c r="G321" t="s">
        <v>547</v>
      </c>
      <c r="H321">
        <v>15</v>
      </c>
    </row>
    <row r="322">
      <c r="A322" t="s">
        <v>58</v>
      </c>
      <c r="B322" t="s">
        <v>59</v>
      </c>
      <c r="C322" t="s">
        <v>171</v>
      </c>
      <c r="D322" t="s">
        <v>172</v>
      </c>
      <c r="E322" t="s">
        <v>548</v>
      </c>
      <c r="F322">
        <v>3724000</v>
      </c>
      <c r="G322" t="s">
        <v>549</v>
      </c>
      <c r="H322">
        <v>6520000</v>
      </c>
    </row>
    <row r="323">
      <c r="A323" t="s">
        <v>58</v>
      </c>
      <c r="B323" t="s">
        <v>59</v>
      </c>
      <c r="C323" t="s">
        <v>95</v>
      </c>
      <c r="D323" t="s">
        <v>175</v>
      </c>
      <c r="E323" t="s">
        <v>550</v>
      </c>
      <c r="F323">
        <v>-1004500</v>
      </c>
      <c r="G323" t="s">
        <v>551</v>
      </c>
      <c r="H323">
        <v>-1375000</v>
      </c>
    </row>
    <row r="324">
      <c r="A324" t="s">
        <v>58</v>
      </c>
      <c r="B324" t="s">
        <v>59</v>
      </c>
      <c r="C324" t="s">
        <v>178</v>
      </c>
      <c r="D324" t="s">
        <v>179</v>
      </c>
      <c r="E324" t="s">
        <v>552</v>
      </c>
      <c r="F324">
        <v>1.3693693693693694</v>
      </c>
      <c r="G324" t="s">
        <v>553</v>
      </c>
      <c r="H324">
        <v>1.2672497570456753</v>
      </c>
    </row>
    <row r="325">
      <c r="A325" t="s">
        <v>58</v>
      </c>
      <c r="B325" t="s">
        <v>59</v>
      </c>
      <c r="C325" t="s">
        <v>182</v>
      </c>
      <c r="D325" t="s">
        <v>183</v>
      </c>
      <c r="E325" t="s">
        <v>554</v>
      </c>
      <c r="F325">
        <v>-0.26973684210526316</v>
      </c>
      <c r="G325" t="s">
        <v>555</v>
      </c>
      <c r="H325">
        <v>-0.21088957055214724</v>
      </c>
    </row>
    <row r="326">
      <c r="A326" t="s">
        <v>58</v>
      </c>
      <c r="B326" t="s">
        <v>59</v>
      </c>
      <c r="C326" t="s">
        <v>186</v>
      </c>
      <c r="D326" t="s">
        <v>187</v>
      </c>
      <c r="E326" t="s">
        <v>556</v>
      </c>
      <c r="G326" t="s">
        <v>556</v>
      </c>
    </row>
    <row r="327">
      <c r="A327" t="s">
        <v>58</v>
      </c>
      <c r="B327" t="s">
        <v>59</v>
      </c>
      <c r="C327" t="s">
        <v>190</v>
      </c>
      <c r="D327" t="s">
        <v>191</v>
      </c>
      <c r="E327" t="s">
        <v>557</v>
      </c>
      <c r="F327">
        <v>8774500</v>
      </c>
      <c r="G327" t="s">
        <v>558</v>
      </c>
      <c r="H327">
        <v>16075000</v>
      </c>
    </row>
    <row r="328">
      <c r="A328" t="s">
        <v>58</v>
      </c>
      <c r="B328" t="s">
        <v>59</v>
      </c>
      <c r="C328" t="s">
        <v>98</v>
      </c>
      <c r="D328" t="s">
        <v>194</v>
      </c>
      <c r="E328" t="s">
        <v>559</v>
      </c>
      <c r="F328">
        <v>1.1292792792792792</v>
      </c>
      <c r="G328" t="s">
        <v>560</v>
      </c>
      <c r="H328">
        <v>1.0935374149659864</v>
      </c>
    </row>
    <row r="329">
      <c r="A329" t="s">
        <v>58</v>
      </c>
      <c r="B329" t="s">
        <v>59</v>
      </c>
      <c r="C329" t="s">
        <v>99</v>
      </c>
      <c r="D329" t="s">
        <v>197</v>
      </c>
      <c r="E329" t="s">
        <v>561</v>
      </c>
      <c r="F329">
        <v>4150000</v>
      </c>
      <c r="G329" t="s">
        <v>562</v>
      </c>
      <c r="H329">
        <v>7675000</v>
      </c>
    </row>
    <row r="330">
      <c r="A330" t="s">
        <v>58</v>
      </c>
      <c r="B330" t="s">
        <v>59</v>
      </c>
      <c r="C330" t="s">
        <v>101</v>
      </c>
      <c r="D330" t="s">
        <v>200</v>
      </c>
      <c r="E330" t="s">
        <v>563</v>
      </c>
      <c r="F330">
        <v>2.8076923076923075</v>
      </c>
      <c r="G330" t="s">
        <v>563</v>
      </c>
      <c r="H330">
        <v>2.8076923076923075</v>
      </c>
    </row>
    <row r="331">
      <c r="A331" t="s">
        <v>58</v>
      </c>
      <c r="B331" t="s">
        <v>59</v>
      </c>
      <c r="C331" t="s">
        <v>202</v>
      </c>
      <c r="D331" t="s">
        <v>203</v>
      </c>
      <c r="E331" t="s">
        <v>564</v>
      </c>
      <c r="F331">
        <v>1.05</v>
      </c>
      <c r="G331" t="s">
        <v>565</v>
      </c>
      <c r="H331">
        <v>1.05</v>
      </c>
    </row>
    <row r="332">
      <c r="A332" t="s">
        <v>58</v>
      </c>
      <c r="B332" t="s">
        <v>59</v>
      </c>
      <c r="C332" t="s">
        <v>206</v>
      </c>
      <c r="D332" t="s">
        <v>207</v>
      </c>
      <c r="E332" t="s">
        <v>566</v>
      </c>
      <c r="F332">
        <v>0.5032432432432432</v>
      </c>
      <c r="G332" t="s">
        <v>567</v>
      </c>
      <c r="H332">
        <v>0.4657142857142857</v>
      </c>
    </row>
    <row r="333">
      <c r="A333" t="s">
        <v>58</v>
      </c>
      <c r="B333" t="s">
        <v>59</v>
      </c>
      <c r="C333" t="s">
        <v>210</v>
      </c>
      <c r="D333" t="s">
        <v>211</v>
      </c>
      <c r="E333" t="s">
        <v>568</v>
      </c>
      <c r="F333">
        <v>-0.13574324324324324</v>
      </c>
      <c r="G333" t="s">
        <v>569</v>
      </c>
      <c r="H333">
        <v>-0.09821428571428571</v>
      </c>
    </row>
    <row r="334">
      <c r="A334" t="s">
        <v>58</v>
      </c>
      <c r="B334" t="s">
        <v>59</v>
      </c>
      <c r="C334" t="s">
        <v>214</v>
      </c>
    </row>
    <row r="335">
      <c r="A335" t="s">
        <v>58</v>
      </c>
      <c r="B335" t="s">
        <v>59</v>
      </c>
      <c r="C335" t="s">
        <v>215</v>
      </c>
      <c r="D335" t="s">
        <v>216</v>
      </c>
      <c r="E335" t="s">
        <v>217</v>
      </c>
      <c r="F335">
        <v>24</v>
      </c>
    </row>
    <row r="336">
      <c r="A336" t="s">
        <v>58</v>
      </c>
      <c r="B336" t="s">
        <v>59</v>
      </c>
      <c r="C336" t="s">
        <v>218</v>
      </c>
      <c r="D336" t="s">
        <v>216</v>
      </c>
      <c r="E336" t="s">
        <v>219</v>
      </c>
      <c r="F336">
        <v>365</v>
      </c>
    </row>
    <row r="337">
      <c r="A337" t="s">
        <v>58</v>
      </c>
      <c r="B337" t="s">
        <v>59</v>
      </c>
      <c r="C337" t="s">
        <v>220</v>
      </c>
      <c r="D337" t="s">
        <v>216</v>
      </c>
      <c r="E337" t="s">
        <v>221</v>
      </c>
      <c r="F337">
        <v>1</v>
      </c>
    </row>
    <row r="338">
      <c r="A338" t="s">
        <v>58</v>
      </c>
      <c r="B338" t="s">
        <v>59</v>
      </c>
      <c r="C338" t="s">
        <v>222</v>
      </c>
      <c r="D338" t="s">
        <v>223</v>
      </c>
      <c r="E338" t="s">
        <v>224</v>
      </c>
      <c r="F338">
        <v>52000</v>
      </c>
    </row>
    <row r="339">
      <c r="A339" t="s">
        <v>58</v>
      </c>
      <c r="B339" t="s">
        <v>59</v>
      </c>
      <c r="C339" t="s">
        <v>225</v>
      </c>
      <c r="D339" t="s">
        <v>429</v>
      </c>
      <c r="E339" t="s">
        <v>570</v>
      </c>
      <c r="F339">
        <v>88000</v>
      </c>
    </row>
    <row r="340">
      <c r="A340" t="s">
        <v>58</v>
      </c>
      <c r="B340" t="s">
        <v>59</v>
      </c>
      <c r="C340" t="s">
        <v>227</v>
      </c>
      <c r="D340" t="s">
        <v>216</v>
      </c>
      <c r="E340" t="s">
        <v>228</v>
      </c>
      <c r="F340">
        <v>5</v>
      </c>
    </row>
    <row r="341">
      <c r="A341" t="s">
        <v>58</v>
      </c>
      <c r="B341" t="s">
        <v>59</v>
      </c>
      <c r="C341" t="s">
        <v>229</v>
      </c>
      <c r="D341" t="s">
        <v>216</v>
      </c>
      <c r="E341" t="s">
        <v>230</v>
      </c>
      <c r="F341">
        <v>7</v>
      </c>
    </row>
    <row r="342">
      <c r="A342" t="s">
        <v>58</v>
      </c>
      <c r="B342" t="s">
        <v>59</v>
      </c>
      <c r="C342" t="s">
        <v>231</v>
      </c>
      <c r="D342" t="s">
        <v>223</v>
      </c>
      <c r="E342" t="s">
        <v>232</v>
      </c>
      <c r="F342">
        <v>175000</v>
      </c>
    </row>
    <row r="343">
      <c r="A343" t="s">
        <v>58</v>
      </c>
      <c r="B343" t="s">
        <v>59</v>
      </c>
      <c r="C343" t="s">
        <v>233</v>
      </c>
      <c r="D343" t="s">
        <v>223</v>
      </c>
      <c r="E343" t="s">
        <v>234</v>
      </c>
      <c r="F343">
        <v>75000</v>
      </c>
    </row>
    <row r="344">
      <c r="A344" t="s">
        <v>58</v>
      </c>
      <c r="B344" t="s">
        <v>59</v>
      </c>
      <c r="C344" t="s">
        <v>235</v>
      </c>
      <c r="D344" t="s">
        <v>216</v>
      </c>
      <c r="E344" t="s">
        <v>236</v>
      </c>
      <c r="F344">
        <v>0.25</v>
      </c>
    </row>
    <row r="345">
      <c r="A345" t="s">
        <v>58</v>
      </c>
      <c r="B345" t="s">
        <v>59</v>
      </c>
      <c r="C345" t="s">
        <v>237</v>
      </c>
      <c r="D345" t="s">
        <v>216</v>
      </c>
      <c r="E345" t="s">
        <v>238</v>
      </c>
      <c r="F345">
        <v>0.35</v>
      </c>
    </row>
    <row r="346">
      <c r="A346" t="s">
        <v>58</v>
      </c>
      <c r="B346" t="s">
        <v>59</v>
      </c>
      <c r="C346" t="s">
        <v>239</v>
      </c>
      <c r="D346" t="s">
        <v>216</v>
      </c>
      <c r="E346" t="s">
        <v>240</v>
      </c>
    </row>
    <row r="348">
      <c r="A348" t="s">
        <v>64</v>
      </c>
      <c r="B348" t="s">
        <v>65</v>
      </c>
      <c r="C348" t="s">
        <v>113</v>
      </c>
      <c r="D348" t="s">
        <v>114</v>
      </c>
      <c r="E348" t="s">
        <v>571</v>
      </c>
      <c r="F348">
        <v>2050000</v>
      </c>
      <c r="G348" t="s">
        <v>572</v>
      </c>
      <c r="H348">
        <v>4100000</v>
      </c>
    </row>
    <row r="349">
      <c r="A349" t="s">
        <v>64</v>
      </c>
      <c r="B349" t="s">
        <v>65</v>
      </c>
      <c r="C349" t="s">
        <v>77</v>
      </c>
      <c r="D349" t="s">
        <v>117</v>
      </c>
      <c r="E349" t="s">
        <v>118</v>
      </c>
      <c r="F349">
        <v>1</v>
      </c>
      <c r="G349" t="s">
        <v>573</v>
      </c>
      <c r="H349">
        <v>2</v>
      </c>
    </row>
    <row r="350">
      <c r="A350" t="s">
        <v>64</v>
      </c>
      <c r="B350" t="s">
        <v>65</v>
      </c>
      <c r="C350" t="s">
        <v>79</v>
      </c>
      <c r="D350" t="s">
        <v>120</v>
      </c>
      <c r="E350" t="s">
        <v>574</v>
      </c>
      <c r="F350">
        <v>34</v>
      </c>
      <c r="G350" t="s">
        <v>575</v>
      </c>
      <c r="H350">
        <v>68</v>
      </c>
    </row>
    <row r="351">
      <c r="A351" t="s">
        <v>64</v>
      </c>
      <c r="B351" t="s">
        <v>65</v>
      </c>
      <c r="C351" t="s">
        <v>123</v>
      </c>
      <c r="D351" t="s">
        <v>124</v>
      </c>
      <c r="E351" t="s">
        <v>576</v>
      </c>
      <c r="F351">
        <v>70720</v>
      </c>
      <c r="G351" t="s">
        <v>577</v>
      </c>
      <c r="H351">
        <v>141440</v>
      </c>
    </row>
    <row r="352">
      <c r="A352" t="s">
        <v>64</v>
      </c>
      <c r="B352" t="s">
        <v>65</v>
      </c>
      <c r="C352" t="s">
        <v>127</v>
      </c>
      <c r="D352" t="s">
        <v>128</v>
      </c>
      <c r="E352" t="s">
        <v>578</v>
      </c>
      <c r="F352">
        <v>2108000</v>
      </c>
      <c r="G352" t="s">
        <v>579</v>
      </c>
      <c r="H352">
        <v>4216000</v>
      </c>
    </row>
    <row r="353">
      <c r="A353" t="s">
        <v>64</v>
      </c>
      <c r="B353" t="s">
        <v>65</v>
      </c>
      <c r="C353" t="s">
        <v>131</v>
      </c>
      <c r="D353" t="s">
        <v>132</v>
      </c>
      <c r="E353" t="s">
        <v>580</v>
      </c>
      <c r="F353">
        <v>29.807692307692307</v>
      </c>
      <c r="G353" t="s">
        <v>580</v>
      </c>
      <c r="H353">
        <v>29.807692307692307</v>
      </c>
    </row>
    <row r="354">
      <c r="A354" t="s">
        <v>64</v>
      </c>
      <c r="B354" t="s">
        <v>65</v>
      </c>
      <c r="C354" t="s">
        <v>134</v>
      </c>
      <c r="D354" t="s">
        <v>135</v>
      </c>
      <c r="E354" t="s">
        <v>136</v>
      </c>
      <c r="F354">
        <v>8760</v>
      </c>
      <c r="G354" t="s">
        <v>136</v>
      </c>
      <c r="H354">
        <v>8760</v>
      </c>
    </row>
    <row r="355">
      <c r="A355" t="s">
        <v>64</v>
      </c>
      <c r="B355" t="s">
        <v>65</v>
      </c>
      <c r="C355" t="s">
        <v>137</v>
      </c>
      <c r="D355" t="s">
        <v>138</v>
      </c>
      <c r="E355" t="s">
        <v>139</v>
      </c>
      <c r="F355">
        <v>0.25</v>
      </c>
      <c r="G355" t="s">
        <v>139</v>
      </c>
      <c r="H355">
        <v>0.25</v>
      </c>
    </row>
    <row r="356">
      <c r="A356" t="s">
        <v>64</v>
      </c>
      <c r="B356" t="s">
        <v>65</v>
      </c>
      <c r="C356" t="s">
        <v>140</v>
      </c>
      <c r="D356" t="s">
        <v>141</v>
      </c>
      <c r="E356" t="s">
        <v>142</v>
      </c>
      <c r="F356">
        <v>2190</v>
      </c>
      <c r="G356" t="s">
        <v>142</v>
      </c>
      <c r="H356">
        <v>2190</v>
      </c>
    </row>
    <row r="357">
      <c r="A357" t="s">
        <v>64</v>
      </c>
      <c r="B357" t="s">
        <v>65</v>
      </c>
      <c r="C357" t="s">
        <v>143</v>
      </c>
      <c r="D357" t="s">
        <v>144</v>
      </c>
      <c r="E357" t="s">
        <v>145</v>
      </c>
      <c r="F357">
        <v>0.35</v>
      </c>
      <c r="G357" t="s">
        <v>145</v>
      </c>
      <c r="H357">
        <v>0.35</v>
      </c>
    </row>
    <row r="358">
      <c r="A358" t="s">
        <v>64</v>
      </c>
      <c r="B358" t="s">
        <v>65</v>
      </c>
      <c r="C358" t="s">
        <v>87</v>
      </c>
      <c r="D358" t="s">
        <v>146</v>
      </c>
      <c r="E358" t="s">
        <v>581</v>
      </c>
      <c r="F358">
        <v>24752</v>
      </c>
      <c r="G358" t="s">
        <v>582</v>
      </c>
      <c r="H358">
        <v>49504</v>
      </c>
    </row>
    <row r="359">
      <c r="A359" t="s">
        <v>64</v>
      </c>
      <c r="B359" t="s">
        <v>65</v>
      </c>
      <c r="C359" t="s">
        <v>88</v>
      </c>
      <c r="D359" t="s">
        <v>149</v>
      </c>
      <c r="E359" t="s">
        <v>583</v>
      </c>
      <c r="F359">
        <v>737800</v>
      </c>
      <c r="G359" t="s">
        <v>584</v>
      </c>
      <c r="H359">
        <v>1475600</v>
      </c>
    </row>
    <row r="360">
      <c r="A360" t="s">
        <v>64</v>
      </c>
      <c r="B360" t="s">
        <v>65</v>
      </c>
      <c r="C360" t="s">
        <v>89</v>
      </c>
      <c r="D360" t="s">
        <v>152</v>
      </c>
      <c r="E360" t="s">
        <v>585</v>
      </c>
      <c r="F360">
        <v>1370200</v>
      </c>
      <c r="G360" t="s">
        <v>586</v>
      </c>
      <c r="H360">
        <v>2740400</v>
      </c>
    </row>
    <row r="361">
      <c r="A361" t="s">
        <v>64</v>
      </c>
      <c r="B361" t="s">
        <v>65</v>
      </c>
      <c r="C361" t="s">
        <v>155</v>
      </c>
      <c r="D361" t="s">
        <v>156</v>
      </c>
      <c r="E361" t="s">
        <v>587</v>
      </c>
      <c r="F361">
        <v>11.30228310502283</v>
      </c>
      <c r="G361" t="s">
        <v>588</v>
      </c>
      <c r="H361">
        <v>22.60456621004566</v>
      </c>
    </row>
    <row r="362">
      <c r="A362" t="s">
        <v>64</v>
      </c>
      <c r="B362" t="s">
        <v>65</v>
      </c>
      <c r="C362" t="s">
        <v>159</v>
      </c>
      <c r="D362" t="s">
        <v>160</v>
      </c>
      <c r="E362" t="s">
        <v>589</v>
      </c>
      <c r="F362">
        <v>12</v>
      </c>
      <c r="G362" t="s">
        <v>590</v>
      </c>
      <c r="H362">
        <v>23</v>
      </c>
    </row>
    <row r="363">
      <c r="A363" t="s">
        <v>64</v>
      </c>
      <c r="B363" t="s">
        <v>65</v>
      </c>
      <c r="C363" t="s">
        <v>163</v>
      </c>
      <c r="D363" t="s">
        <v>164</v>
      </c>
      <c r="E363" t="s">
        <v>591</v>
      </c>
      <c r="F363">
        <v>2.4</v>
      </c>
      <c r="G363" t="s">
        <v>592</v>
      </c>
      <c r="H363">
        <v>3.2857142857142856</v>
      </c>
    </row>
    <row r="364">
      <c r="A364" t="s">
        <v>64</v>
      </c>
      <c r="B364" t="s">
        <v>65</v>
      </c>
      <c r="C364" t="s">
        <v>167</v>
      </c>
      <c r="D364" t="s">
        <v>168</v>
      </c>
      <c r="E364" t="s">
        <v>593</v>
      </c>
      <c r="F364">
        <v>3</v>
      </c>
      <c r="G364" t="s">
        <v>594</v>
      </c>
      <c r="H364">
        <v>4</v>
      </c>
    </row>
    <row r="365">
      <c r="A365" t="s">
        <v>64</v>
      </c>
      <c r="B365" t="s">
        <v>65</v>
      </c>
      <c r="C365" t="s">
        <v>171</v>
      </c>
      <c r="D365" t="s">
        <v>172</v>
      </c>
      <c r="E365" t="s">
        <v>595</v>
      </c>
      <c r="F365">
        <v>846000</v>
      </c>
      <c r="G365" t="s">
        <v>596</v>
      </c>
      <c r="H365">
        <v>1492000</v>
      </c>
    </row>
    <row r="366">
      <c r="A366" t="s">
        <v>64</v>
      </c>
      <c r="B366" t="s">
        <v>65</v>
      </c>
      <c r="C366" t="s">
        <v>95</v>
      </c>
      <c r="D366" t="s">
        <v>175</v>
      </c>
      <c r="E366" t="s">
        <v>597</v>
      </c>
      <c r="F366">
        <v>-108200</v>
      </c>
      <c r="G366" t="s">
        <v>598</v>
      </c>
      <c r="H366">
        <v>-16400</v>
      </c>
    </row>
    <row r="367">
      <c r="A367" t="s">
        <v>64</v>
      </c>
      <c r="B367" t="s">
        <v>65</v>
      </c>
      <c r="C367" t="s">
        <v>178</v>
      </c>
      <c r="D367" t="s">
        <v>179</v>
      </c>
      <c r="E367" t="s">
        <v>599</v>
      </c>
      <c r="F367">
        <v>1.1466522092708051</v>
      </c>
      <c r="G367" t="s">
        <v>600</v>
      </c>
      <c r="H367">
        <v>1.0111141230685823</v>
      </c>
    </row>
    <row r="368">
      <c r="A368" t="s">
        <v>64</v>
      </c>
      <c r="B368" t="s">
        <v>65</v>
      </c>
      <c r="C368" t="s">
        <v>182</v>
      </c>
      <c r="D368" t="s">
        <v>183</v>
      </c>
      <c r="E368" t="s">
        <v>601</v>
      </c>
      <c r="F368">
        <v>-0.12789598108747044</v>
      </c>
      <c r="G368" t="s">
        <v>602</v>
      </c>
      <c r="H368">
        <v>-0.01099195710455764</v>
      </c>
    </row>
    <row r="369">
      <c r="A369" t="s">
        <v>64</v>
      </c>
      <c r="B369" t="s">
        <v>65</v>
      </c>
      <c r="C369" t="s">
        <v>186</v>
      </c>
      <c r="D369" t="s">
        <v>187</v>
      </c>
      <c r="E369" t="s">
        <v>556</v>
      </c>
      <c r="G369" t="s">
        <v>556</v>
      </c>
    </row>
    <row r="370">
      <c r="A370" t="s">
        <v>64</v>
      </c>
      <c r="B370" t="s">
        <v>65</v>
      </c>
      <c r="C370" t="s">
        <v>190</v>
      </c>
      <c r="D370" t="s">
        <v>191</v>
      </c>
      <c r="E370" t="s">
        <v>603</v>
      </c>
      <c r="F370">
        <v>2216200</v>
      </c>
      <c r="G370" t="s">
        <v>604</v>
      </c>
      <c r="H370">
        <v>4232400</v>
      </c>
    </row>
    <row r="371">
      <c r="A371" t="s">
        <v>64</v>
      </c>
      <c r="B371" t="s">
        <v>65</v>
      </c>
      <c r="C371" t="s">
        <v>98</v>
      </c>
      <c r="D371" t="s">
        <v>194</v>
      </c>
      <c r="E371" t="s">
        <v>605</v>
      </c>
      <c r="F371">
        <v>1.0513282732447817</v>
      </c>
      <c r="G371" t="s">
        <v>606</v>
      </c>
      <c r="H371">
        <v>1.0038899430740038</v>
      </c>
    </row>
    <row r="372">
      <c r="A372" t="s">
        <v>64</v>
      </c>
      <c r="B372" t="s">
        <v>65</v>
      </c>
      <c r="C372" t="s">
        <v>99</v>
      </c>
      <c r="D372" t="s">
        <v>197</v>
      </c>
      <c r="E372" t="s">
        <v>607</v>
      </c>
      <c r="F372">
        <v>1075000</v>
      </c>
      <c r="G372" t="s">
        <v>608</v>
      </c>
      <c r="H372">
        <v>1900000</v>
      </c>
    </row>
    <row r="373">
      <c r="A373" t="s">
        <v>64</v>
      </c>
      <c r="B373" t="s">
        <v>65</v>
      </c>
      <c r="C373" t="s">
        <v>101</v>
      </c>
      <c r="D373" t="s">
        <v>200</v>
      </c>
      <c r="E373" t="s">
        <v>609</v>
      </c>
      <c r="F373">
        <v>4.211538461538462</v>
      </c>
      <c r="G373" t="s">
        <v>609</v>
      </c>
      <c r="H373">
        <v>4.211538461538462</v>
      </c>
    </row>
    <row r="374">
      <c r="A374" t="s">
        <v>64</v>
      </c>
      <c r="B374" t="s">
        <v>65</v>
      </c>
      <c r="C374" t="s">
        <v>202</v>
      </c>
      <c r="D374" t="s">
        <v>203</v>
      </c>
      <c r="E374" t="s">
        <v>610</v>
      </c>
      <c r="F374">
        <v>1.0282926829268293</v>
      </c>
      <c r="G374" t="s">
        <v>611</v>
      </c>
      <c r="H374">
        <v>1.0282926829268293</v>
      </c>
    </row>
    <row r="375">
      <c r="A375" t="s">
        <v>64</v>
      </c>
      <c r="B375" t="s">
        <v>65</v>
      </c>
      <c r="C375" t="s">
        <v>206</v>
      </c>
      <c r="D375" t="s">
        <v>207</v>
      </c>
      <c r="E375" t="s">
        <v>612</v>
      </c>
      <c r="F375">
        <v>0.41268292682926827</v>
      </c>
      <c r="G375" t="s">
        <v>613</v>
      </c>
      <c r="H375">
        <v>0.36390243902439023</v>
      </c>
    </row>
    <row r="376">
      <c r="A376" t="s">
        <v>64</v>
      </c>
      <c r="B376" t="s">
        <v>65</v>
      </c>
      <c r="C376" t="s">
        <v>210</v>
      </c>
      <c r="D376" t="s">
        <v>211</v>
      </c>
      <c r="E376" t="s">
        <v>614</v>
      </c>
      <c r="F376">
        <v>-0.05278048780487805</v>
      </c>
      <c r="G376" t="s">
        <v>615</v>
      </c>
      <c r="H376">
        <v>-0.004</v>
      </c>
    </row>
    <row r="377">
      <c r="A377" t="s">
        <v>64</v>
      </c>
      <c r="B377" t="s">
        <v>65</v>
      </c>
      <c r="C377" t="s">
        <v>214</v>
      </c>
    </row>
    <row r="378">
      <c r="A378" t="s">
        <v>64</v>
      </c>
      <c r="B378" t="s">
        <v>65</v>
      </c>
      <c r="C378" t="s">
        <v>215</v>
      </c>
      <c r="D378" t="s">
        <v>216</v>
      </c>
      <c r="E378" t="s">
        <v>217</v>
      </c>
      <c r="F378">
        <v>24</v>
      </c>
    </row>
    <row r="379">
      <c r="A379" t="s">
        <v>64</v>
      </c>
      <c r="B379" t="s">
        <v>65</v>
      </c>
      <c r="C379" t="s">
        <v>218</v>
      </c>
      <c r="D379" t="s">
        <v>216</v>
      </c>
      <c r="E379" t="s">
        <v>219</v>
      </c>
      <c r="F379">
        <v>365</v>
      </c>
    </row>
    <row r="380">
      <c r="A380" t="s">
        <v>64</v>
      </c>
      <c r="B380" t="s">
        <v>65</v>
      </c>
      <c r="C380" t="s">
        <v>220</v>
      </c>
      <c r="D380" t="s">
        <v>216</v>
      </c>
      <c r="E380" t="s">
        <v>221</v>
      </c>
      <c r="F380">
        <v>1</v>
      </c>
    </row>
    <row r="381">
      <c r="A381" t="s">
        <v>64</v>
      </c>
      <c r="B381" t="s">
        <v>65</v>
      </c>
      <c r="C381" t="s">
        <v>222</v>
      </c>
      <c r="D381" t="s">
        <v>223</v>
      </c>
      <c r="E381" t="s">
        <v>224</v>
      </c>
      <c r="F381">
        <v>52000</v>
      </c>
    </row>
    <row r="382">
      <c r="A382" t="s">
        <v>64</v>
      </c>
      <c r="B382" t="s">
        <v>65</v>
      </c>
      <c r="C382" t="s">
        <v>225</v>
      </c>
      <c r="D382" t="s">
        <v>429</v>
      </c>
      <c r="E382" t="s">
        <v>616</v>
      </c>
      <c r="F382">
        <v>74000</v>
      </c>
    </row>
    <row r="383">
      <c r="A383" t="s">
        <v>64</v>
      </c>
      <c r="B383" t="s">
        <v>65</v>
      </c>
      <c r="C383" t="s">
        <v>227</v>
      </c>
      <c r="D383" t="s">
        <v>216</v>
      </c>
      <c r="E383" t="s">
        <v>228</v>
      </c>
      <c r="F383">
        <v>5</v>
      </c>
    </row>
    <row r="384">
      <c r="A384" t="s">
        <v>64</v>
      </c>
      <c r="B384" t="s">
        <v>65</v>
      </c>
      <c r="C384" t="s">
        <v>229</v>
      </c>
      <c r="D384" t="s">
        <v>216</v>
      </c>
      <c r="E384" t="s">
        <v>230</v>
      </c>
      <c r="F384">
        <v>7</v>
      </c>
    </row>
    <row r="385">
      <c r="A385" t="s">
        <v>64</v>
      </c>
      <c r="B385" t="s">
        <v>65</v>
      </c>
      <c r="C385" t="s">
        <v>231</v>
      </c>
      <c r="D385" t="s">
        <v>223</v>
      </c>
      <c r="E385" t="s">
        <v>232</v>
      </c>
      <c r="F385">
        <v>175000</v>
      </c>
    </row>
    <row r="386">
      <c r="A386" t="s">
        <v>64</v>
      </c>
      <c r="B386" t="s">
        <v>65</v>
      </c>
      <c r="C386" t="s">
        <v>233</v>
      </c>
      <c r="D386" t="s">
        <v>223</v>
      </c>
      <c r="E386" t="s">
        <v>234</v>
      </c>
      <c r="F386">
        <v>75000</v>
      </c>
    </row>
    <row r="387">
      <c r="A387" t="s">
        <v>64</v>
      </c>
      <c r="B387" t="s">
        <v>65</v>
      </c>
      <c r="C387" t="s">
        <v>235</v>
      </c>
      <c r="D387" t="s">
        <v>216</v>
      </c>
      <c r="E387" t="s">
        <v>236</v>
      </c>
      <c r="F387">
        <v>0.25</v>
      </c>
    </row>
    <row r="388">
      <c r="A388" t="s">
        <v>64</v>
      </c>
      <c r="B388" t="s">
        <v>65</v>
      </c>
      <c r="C388" t="s">
        <v>237</v>
      </c>
      <c r="D388" t="s">
        <v>216</v>
      </c>
      <c r="E388" t="s">
        <v>238</v>
      </c>
      <c r="F388">
        <v>0.35</v>
      </c>
    </row>
    <row r="389">
      <c r="A389" t="s">
        <v>64</v>
      </c>
      <c r="B389" t="s">
        <v>65</v>
      </c>
      <c r="C389" t="s">
        <v>239</v>
      </c>
      <c r="D389" t="s">
        <v>216</v>
      </c>
      <c r="E389" t="s">
        <v>240</v>
      </c>
    </row>
    <row r="391">
      <c r="A391" t="s">
        <v>68</v>
      </c>
      <c r="B391" t="s">
        <v>69</v>
      </c>
      <c r="C391" t="s">
        <v>113</v>
      </c>
      <c r="D391" t="s">
        <v>114</v>
      </c>
      <c r="E391" t="s">
        <v>617</v>
      </c>
      <c r="F391">
        <v>4300000</v>
      </c>
      <c r="G391" t="s">
        <v>618</v>
      </c>
      <c r="H391">
        <v>8400000</v>
      </c>
    </row>
    <row r="392">
      <c r="A392" t="s">
        <v>68</v>
      </c>
      <c r="B392" t="s">
        <v>69</v>
      </c>
      <c r="C392" t="s">
        <v>77</v>
      </c>
      <c r="D392" t="s">
        <v>117</v>
      </c>
      <c r="E392" t="s">
        <v>118</v>
      </c>
      <c r="F392">
        <v>1</v>
      </c>
      <c r="G392" t="s">
        <v>619</v>
      </c>
      <c r="H392">
        <v>1.9534883720930232</v>
      </c>
    </row>
    <row r="393">
      <c r="A393" t="s">
        <v>68</v>
      </c>
      <c r="B393" t="s">
        <v>69</v>
      </c>
      <c r="C393" t="s">
        <v>79</v>
      </c>
      <c r="D393" t="s">
        <v>120</v>
      </c>
      <c r="E393" t="s">
        <v>620</v>
      </c>
      <c r="F393">
        <v>68</v>
      </c>
      <c r="G393" t="s">
        <v>621</v>
      </c>
      <c r="H393">
        <v>132.83720930232556</v>
      </c>
    </row>
    <row r="394">
      <c r="A394" t="s">
        <v>68</v>
      </c>
      <c r="B394" t="s">
        <v>69</v>
      </c>
      <c r="C394" t="s">
        <v>123</v>
      </c>
      <c r="D394" t="s">
        <v>124</v>
      </c>
      <c r="E394" t="s">
        <v>622</v>
      </c>
      <c r="F394">
        <v>170000</v>
      </c>
      <c r="G394" t="s">
        <v>623</v>
      </c>
      <c r="H394">
        <v>332093.0232558139</v>
      </c>
    </row>
    <row r="395">
      <c r="A395" t="s">
        <v>68</v>
      </c>
      <c r="B395" t="s">
        <v>69</v>
      </c>
      <c r="C395" t="s">
        <v>127</v>
      </c>
      <c r="D395" t="s">
        <v>128</v>
      </c>
      <c r="E395" t="s">
        <v>624</v>
      </c>
      <c r="F395">
        <v>4148000</v>
      </c>
      <c r="G395" t="s">
        <v>625</v>
      </c>
      <c r="H395">
        <v>8103069.7674418595</v>
      </c>
    </row>
    <row r="396">
      <c r="A396" t="s">
        <v>68</v>
      </c>
      <c r="B396" t="s">
        <v>69</v>
      </c>
      <c r="C396" t="s">
        <v>131</v>
      </c>
      <c r="D396" t="s">
        <v>132</v>
      </c>
      <c r="E396" t="s">
        <v>626</v>
      </c>
      <c r="F396">
        <v>24.4</v>
      </c>
      <c r="G396" t="s">
        <v>626</v>
      </c>
      <c r="H396">
        <v>24.4</v>
      </c>
    </row>
    <row r="397">
      <c r="A397" t="s">
        <v>68</v>
      </c>
      <c r="B397" t="s">
        <v>69</v>
      </c>
      <c r="C397" t="s">
        <v>134</v>
      </c>
      <c r="D397" t="s">
        <v>135</v>
      </c>
      <c r="E397" t="s">
        <v>136</v>
      </c>
      <c r="F397">
        <v>8760</v>
      </c>
      <c r="G397" t="s">
        <v>136</v>
      </c>
      <c r="H397">
        <v>8760</v>
      </c>
    </row>
    <row r="398">
      <c r="A398" t="s">
        <v>68</v>
      </c>
      <c r="B398" t="s">
        <v>69</v>
      </c>
      <c r="C398" t="s">
        <v>137</v>
      </c>
      <c r="D398" t="s">
        <v>138</v>
      </c>
      <c r="E398" t="s">
        <v>139</v>
      </c>
      <c r="F398">
        <v>0.25</v>
      </c>
      <c r="G398" t="s">
        <v>139</v>
      </c>
      <c r="H398">
        <v>0.25</v>
      </c>
    </row>
    <row r="399">
      <c r="A399" t="s">
        <v>68</v>
      </c>
      <c r="B399" t="s">
        <v>69</v>
      </c>
      <c r="C399" t="s">
        <v>140</v>
      </c>
      <c r="D399" t="s">
        <v>141</v>
      </c>
      <c r="E399" t="s">
        <v>142</v>
      </c>
      <c r="F399">
        <v>2190</v>
      </c>
      <c r="G399" t="s">
        <v>142</v>
      </c>
      <c r="H399">
        <v>2190</v>
      </c>
    </row>
    <row r="400">
      <c r="A400" t="s">
        <v>68</v>
      </c>
      <c r="B400" t="s">
        <v>69</v>
      </c>
      <c r="C400" t="s">
        <v>143</v>
      </c>
      <c r="D400" t="s">
        <v>144</v>
      </c>
      <c r="E400" t="s">
        <v>145</v>
      </c>
      <c r="F400">
        <v>0.35</v>
      </c>
      <c r="G400" t="s">
        <v>145</v>
      </c>
      <c r="H400">
        <v>0.35</v>
      </c>
    </row>
    <row r="401">
      <c r="A401" t="s">
        <v>68</v>
      </c>
      <c r="B401" t="s">
        <v>69</v>
      </c>
      <c r="C401" t="s">
        <v>87</v>
      </c>
      <c r="D401" t="s">
        <v>146</v>
      </c>
      <c r="E401" t="s">
        <v>627</v>
      </c>
      <c r="F401">
        <v>59499.99999999999</v>
      </c>
      <c r="G401" t="s">
        <v>628</v>
      </c>
      <c r="H401">
        <v>116232.55813953487</v>
      </c>
    </row>
    <row r="402">
      <c r="A402" t="s">
        <v>68</v>
      </c>
      <c r="B402" t="s">
        <v>69</v>
      </c>
      <c r="C402" t="s">
        <v>88</v>
      </c>
      <c r="D402" t="s">
        <v>149</v>
      </c>
      <c r="E402" t="s">
        <v>629</v>
      </c>
      <c r="F402">
        <v>1451800</v>
      </c>
      <c r="G402" t="s">
        <v>630</v>
      </c>
      <c r="H402">
        <v>2836074.4186046505</v>
      </c>
    </row>
    <row r="403">
      <c r="A403" t="s">
        <v>68</v>
      </c>
      <c r="B403" t="s">
        <v>69</v>
      </c>
      <c r="C403" t="s">
        <v>89</v>
      </c>
      <c r="D403" t="s">
        <v>152</v>
      </c>
      <c r="E403" t="s">
        <v>631</v>
      </c>
      <c r="F403">
        <v>2696200</v>
      </c>
      <c r="G403" t="s">
        <v>632</v>
      </c>
      <c r="H403">
        <v>5266995.348837209</v>
      </c>
    </row>
    <row r="404">
      <c r="A404" t="s">
        <v>68</v>
      </c>
      <c r="B404" t="s">
        <v>69</v>
      </c>
      <c r="C404" t="s">
        <v>155</v>
      </c>
      <c r="D404" t="s">
        <v>156</v>
      </c>
      <c r="E404" t="s">
        <v>633</v>
      </c>
      <c r="F404">
        <v>27.168949771689494</v>
      </c>
      <c r="G404" t="s">
        <v>634</v>
      </c>
      <c r="H404">
        <v>53.074227460974825</v>
      </c>
    </row>
    <row r="405">
      <c r="A405" t="s">
        <v>68</v>
      </c>
      <c r="B405" t="s">
        <v>69</v>
      </c>
      <c r="C405" t="s">
        <v>159</v>
      </c>
      <c r="D405" t="s">
        <v>160</v>
      </c>
      <c r="E405" t="s">
        <v>635</v>
      </c>
      <c r="F405">
        <v>28</v>
      </c>
      <c r="G405" t="s">
        <v>636</v>
      </c>
      <c r="H405">
        <v>54</v>
      </c>
    </row>
    <row r="406">
      <c r="A406" t="s">
        <v>68</v>
      </c>
      <c r="B406" t="s">
        <v>69</v>
      </c>
      <c r="C406" t="s">
        <v>163</v>
      </c>
      <c r="D406" t="s">
        <v>164</v>
      </c>
      <c r="E406" t="s">
        <v>637</v>
      </c>
      <c r="F406">
        <v>5.6</v>
      </c>
      <c r="G406" t="s">
        <v>638</v>
      </c>
      <c r="H406">
        <v>7.714285714285714</v>
      </c>
    </row>
    <row r="407">
      <c r="A407" t="s">
        <v>68</v>
      </c>
      <c r="B407" t="s">
        <v>69</v>
      </c>
      <c r="C407" t="s">
        <v>167</v>
      </c>
      <c r="D407" t="s">
        <v>168</v>
      </c>
      <c r="E407" t="s">
        <v>639</v>
      </c>
      <c r="F407">
        <v>6</v>
      </c>
      <c r="G407" t="s">
        <v>640</v>
      </c>
      <c r="H407">
        <v>8</v>
      </c>
    </row>
    <row r="408">
      <c r="A408" t="s">
        <v>68</v>
      </c>
      <c r="B408" t="s">
        <v>69</v>
      </c>
      <c r="C408" t="s">
        <v>171</v>
      </c>
      <c r="D408" t="s">
        <v>172</v>
      </c>
      <c r="E408" t="s">
        <v>641</v>
      </c>
      <c r="F408">
        <v>1894000</v>
      </c>
      <c r="G408" t="s">
        <v>642</v>
      </c>
      <c r="H408">
        <v>3392000</v>
      </c>
    </row>
    <row r="409">
      <c r="A409" t="s">
        <v>68</v>
      </c>
      <c r="B409" t="s">
        <v>69</v>
      </c>
      <c r="C409" t="s">
        <v>95</v>
      </c>
      <c r="D409" t="s">
        <v>175</v>
      </c>
      <c r="E409" t="s">
        <v>643</v>
      </c>
      <c r="F409">
        <v>-442200</v>
      </c>
      <c r="G409" t="s">
        <v>644</v>
      </c>
      <c r="H409">
        <v>-555925.5813953495</v>
      </c>
    </row>
    <row r="410">
      <c r="A410" t="s">
        <v>68</v>
      </c>
      <c r="B410" t="s">
        <v>69</v>
      </c>
      <c r="C410" t="s">
        <v>178</v>
      </c>
      <c r="D410" t="s">
        <v>179</v>
      </c>
      <c r="E410" t="s">
        <v>645</v>
      </c>
      <c r="F410">
        <v>1.3045874087339855</v>
      </c>
      <c r="G410" t="s">
        <v>646</v>
      </c>
      <c r="H410">
        <v>1.196019391363103</v>
      </c>
    </row>
    <row r="411">
      <c r="A411" t="s">
        <v>68</v>
      </c>
      <c r="B411" t="s">
        <v>69</v>
      </c>
      <c r="C411" t="s">
        <v>182</v>
      </c>
      <c r="D411" t="s">
        <v>183</v>
      </c>
      <c r="E411" t="s">
        <v>647</v>
      </c>
      <c r="F411">
        <v>-0.23347412882787752</v>
      </c>
      <c r="G411" t="s">
        <v>648</v>
      </c>
      <c r="H411">
        <v>-0.1638931548924969</v>
      </c>
    </row>
    <row r="412">
      <c r="A412" t="s">
        <v>68</v>
      </c>
      <c r="B412" t="s">
        <v>69</v>
      </c>
      <c r="C412" t="s">
        <v>186</v>
      </c>
      <c r="D412" t="s">
        <v>187</v>
      </c>
      <c r="E412" t="s">
        <v>556</v>
      </c>
      <c r="G412" t="s">
        <v>556</v>
      </c>
    </row>
    <row r="413">
      <c r="A413" t="s">
        <v>68</v>
      </c>
      <c r="B413" t="s">
        <v>69</v>
      </c>
      <c r="C413" t="s">
        <v>190</v>
      </c>
      <c r="D413" t="s">
        <v>191</v>
      </c>
      <c r="E413" t="s">
        <v>649</v>
      </c>
      <c r="F413">
        <v>4590200</v>
      </c>
      <c r="G413" t="s">
        <v>650</v>
      </c>
      <c r="H413">
        <v>8658995.348837208</v>
      </c>
    </row>
    <row r="414">
      <c r="A414" t="s">
        <v>68</v>
      </c>
      <c r="B414" t="s">
        <v>69</v>
      </c>
      <c r="C414" t="s">
        <v>98</v>
      </c>
      <c r="D414" t="s">
        <v>194</v>
      </c>
      <c r="E414" t="s">
        <v>651</v>
      </c>
      <c r="F414">
        <v>1.106605593056895</v>
      </c>
      <c r="G414" t="s">
        <v>652</v>
      </c>
      <c r="H414">
        <v>1.0686067869770859</v>
      </c>
    </row>
    <row r="415">
      <c r="A415" t="s">
        <v>68</v>
      </c>
      <c r="B415" t="s">
        <v>69</v>
      </c>
      <c r="C415" t="s">
        <v>99</v>
      </c>
      <c r="D415" t="s">
        <v>197</v>
      </c>
      <c r="E415" t="s">
        <v>653</v>
      </c>
      <c r="F415">
        <v>2275000</v>
      </c>
      <c r="G415" t="s">
        <v>654</v>
      </c>
      <c r="H415">
        <v>4225000</v>
      </c>
    </row>
    <row r="416">
      <c r="A416" t="s">
        <v>68</v>
      </c>
      <c r="B416" t="s">
        <v>69</v>
      </c>
      <c r="C416" t="s">
        <v>101</v>
      </c>
      <c r="D416" t="s">
        <v>200</v>
      </c>
      <c r="E416" t="s">
        <v>327</v>
      </c>
      <c r="F416">
        <v>3.504</v>
      </c>
      <c r="G416" t="s">
        <v>327</v>
      </c>
      <c r="H416">
        <v>3.504</v>
      </c>
    </row>
    <row r="417">
      <c r="A417" t="s">
        <v>68</v>
      </c>
      <c r="B417" t="s">
        <v>69</v>
      </c>
      <c r="C417" t="s">
        <v>202</v>
      </c>
      <c r="D417" t="s">
        <v>203</v>
      </c>
      <c r="E417" t="s">
        <v>655</v>
      </c>
      <c r="F417">
        <v>0.9646511627906976</v>
      </c>
      <c r="G417" t="s">
        <v>656</v>
      </c>
      <c r="H417">
        <v>0.9646511627906975</v>
      </c>
    </row>
    <row r="418">
      <c r="A418" t="s">
        <v>68</v>
      </c>
      <c r="B418" t="s">
        <v>69</v>
      </c>
      <c r="C418" t="s">
        <v>206</v>
      </c>
      <c r="D418" t="s">
        <v>207</v>
      </c>
      <c r="E418" t="s">
        <v>657</v>
      </c>
      <c r="F418">
        <v>0.44046511627906976</v>
      </c>
      <c r="G418" t="s">
        <v>658</v>
      </c>
      <c r="H418">
        <v>0.4038095238095238</v>
      </c>
    </row>
    <row r="419">
      <c r="A419" t="s">
        <v>68</v>
      </c>
      <c r="B419" t="s">
        <v>69</v>
      </c>
      <c r="C419" t="s">
        <v>210</v>
      </c>
      <c r="D419" t="s">
        <v>211</v>
      </c>
      <c r="E419" t="s">
        <v>659</v>
      </c>
      <c r="F419">
        <v>-0.10283720930232558</v>
      </c>
      <c r="G419" t="s">
        <v>660</v>
      </c>
      <c r="H419">
        <v>-0.0661816168327797</v>
      </c>
    </row>
    <row r="420">
      <c r="A420" t="s">
        <v>68</v>
      </c>
      <c r="B420" t="s">
        <v>69</v>
      </c>
      <c r="C420" t="s">
        <v>214</v>
      </c>
    </row>
    <row r="421">
      <c r="A421" t="s">
        <v>68</v>
      </c>
      <c r="B421" t="s">
        <v>69</v>
      </c>
      <c r="C421" t="s">
        <v>215</v>
      </c>
      <c r="D421" t="s">
        <v>216</v>
      </c>
      <c r="E421" t="s">
        <v>217</v>
      </c>
      <c r="F421">
        <v>24</v>
      </c>
    </row>
    <row r="422">
      <c r="A422" t="s">
        <v>68</v>
      </c>
      <c r="B422" t="s">
        <v>69</v>
      </c>
      <c r="C422" t="s">
        <v>218</v>
      </c>
      <c r="D422" t="s">
        <v>216</v>
      </c>
      <c r="E422" t="s">
        <v>219</v>
      </c>
      <c r="F422">
        <v>365</v>
      </c>
    </row>
    <row r="423">
      <c r="A423" t="s">
        <v>68</v>
      </c>
      <c r="B423" t="s">
        <v>69</v>
      </c>
      <c r="C423" t="s">
        <v>220</v>
      </c>
      <c r="D423" t="s">
        <v>216</v>
      </c>
      <c r="E423" t="s">
        <v>221</v>
      </c>
      <c r="F423">
        <v>1</v>
      </c>
    </row>
    <row r="424">
      <c r="A424" t="s">
        <v>68</v>
      </c>
      <c r="B424" t="s">
        <v>69</v>
      </c>
      <c r="C424" t="s">
        <v>222</v>
      </c>
      <c r="D424" t="s">
        <v>223</v>
      </c>
      <c r="E424" t="s">
        <v>224</v>
      </c>
      <c r="F424">
        <v>52000</v>
      </c>
    </row>
    <row r="425">
      <c r="A425" t="s">
        <v>68</v>
      </c>
      <c r="B425" t="s">
        <v>69</v>
      </c>
      <c r="C425" t="s">
        <v>225</v>
      </c>
      <c r="D425" t="s">
        <v>429</v>
      </c>
      <c r="E425" t="s">
        <v>661</v>
      </c>
      <c r="F425">
        <v>73000</v>
      </c>
    </row>
    <row r="426">
      <c r="A426" t="s">
        <v>68</v>
      </c>
      <c r="B426" t="s">
        <v>69</v>
      </c>
      <c r="C426" t="s">
        <v>227</v>
      </c>
      <c r="D426" t="s">
        <v>216</v>
      </c>
      <c r="E426" t="s">
        <v>228</v>
      </c>
      <c r="F426">
        <v>5</v>
      </c>
    </row>
    <row r="427">
      <c r="A427" t="s">
        <v>68</v>
      </c>
      <c r="B427" t="s">
        <v>69</v>
      </c>
      <c r="C427" t="s">
        <v>229</v>
      </c>
      <c r="D427" t="s">
        <v>216</v>
      </c>
      <c r="E427" t="s">
        <v>230</v>
      </c>
      <c r="F427">
        <v>7</v>
      </c>
    </row>
    <row r="428">
      <c r="A428" t="s">
        <v>68</v>
      </c>
      <c r="B428" t="s">
        <v>69</v>
      </c>
      <c r="C428" t="s">
        <v>231</v>
      </c>
      <c r="D428" t="s">
        <v>223</v>
      </c>
      <c r="E428" t="s">
        <v>232</v>
      </c>
      <c r="F428">
        <v>175000</v>
      </c>
    </row>
    <row r="429">
      <c r="A429" t="s">
        <v>68</v>
      </c>
      <c r="B429" t="s">
        <v>69</v>
      </c>
      <c r="C429" t="s">
        <v>233</v>
      </c>
      <c r="D429" t="s">
        <v>223</v>
      </c>
      <c r="E429" t="s">
        <v>234</v>
      </c>
      <c r="F429">
        <v>75000</v>
      </c>
    </row>
    <row r="430">
      <c r="A430" t="s">
        <v>68</v>
      </c>
      <c r="B430" t="s">
        <v>69</v>
      </c>
      <c r="C430" t="s">
        <v>235</v>
      </c>
      <c r="D430" t="s">
        <v>216</v>
      </c>
      <c r="E430" t="s">
        <v>236</v>
      </c>
      <c r="F430">
        <v>0.25</v>
      </c>
    </row>
    <row r="431">
      <c r="A431" t="s">
        <v>68</v>
      </c>
      <c r="B431" t="s">
        <v>69</v>
      </c>
      <c r="C431" t="s">
        <v>237</v>
      </c>
      <c r="D431" t="s">
        <v>216</v>
      </c>
      <c r="E431" t="s">
        <v>238</v>
      </c>
      <c r="F431">
        <v>0.35</v>
      </c>
    </row>
    <row r="432">
      <c r="A432" t="s">
        <v>68</v>
      </c>
      <c r="B432" t="s">
        <v>69</v>
      </c>
      <c r="C432" t="s">
        <v>239</v>
      </c>
      <c r="D432" t="s">
        <v>216</v>
      </c>
      <c r="E432" t="s">
        <v>240</v>
      </c>
    </row>
    <row r="434">
      <c r="A434" t="s">
        <v>72</v>
      </c>
      <c r="B434" t="s">
        <v>73</v>
      </c>
      <c r="C434" t="s">
        <v>113</v>
      </c>
      <c r="D434" t="s">
        <v>114</v>
      </c>
      <c r="E434" t="s">
        <v>662</v>
      </c>
      <c r="F434">
        <v>2800000</v>
      </c>
      <c r="G434" t="s">
        <v>663</v>
      </c>
      <c r="H434">
        <v>5200000</v>
      </c>
    </row>
    <row r="435">
      <c r="A435" t="s">
        <v>72</v>
      </c>
      <c r="B435" t="s">
        <v>73</v>
      </c>
      <c r="C435" t="s">
        <v>77</v>
      </c>
      <c r="D435" t="s">
        <v>117</v>
      </c>
      <c r="E435" t="s">
        <v>118</v>
      </c>
      <c r="F435">
        <v>1</v>
      </c>
      <c r="G435" t="s">
        <v>664</v>
      </c>
      <c r="H435">
        <v>1.8571428571428572</v>
      </c>
    </row>
    <row r="436">
      <c r="A436" t="s">
        <v>72</v>
      </c>
      <c r="B436" t="s">
        <v>73</v>
      </c>
      <c r="C436" t="s">
        <v>79</v>
      </c>
      <c r="D436" t="s">
        <v>120</v>
      </c>
      <c r="E436" t="s">
        <v>665</v>
      </c>
      <c r="F436">
        <v>46</v>
      </c>
      <c r="G436" t="s">
        <v>666</v>
      </c>
      <c r="H436">
        <v>85.42857142857143</v>
      </c>
    </row>
    <row r="437">
      <c r="A437" t="s">
        <v>72</v>
      </c>
      <c r="B437" t="s">
        <v>73</v>
      </c>
      <c r="C437" t="s">
        <v>123</v>
      </c>
      <c r="D437" t="s">
        <v>124</v>
      </c>
      <c r="E437" t="s">
        <v>667</v>
      </c>
      <c r="F437">
        <v>93840</v>
      </c>
      <c r="G437" t="s">
        <v>668</v>
      </c>
      <c r="H437">
        <v>174274.2857142857</v>
      </c>
    </row>
    <row r="438">
      <c r="A438" t="s">
        <v>72</v>
      </c>
      <c r="B438" t="s">
        <v>73</v>
      </c>
      <c r="C438" t="s">
        <v>127</v>
      </c>
      <c r="D438" t="s">
        <v>128</v>
      </c>
      <c r="E438" t="s">
        <v>669</v>
      </c>
      <c r="F438">
        <v>2668000</v>
      </c>
      <c r="G438" t="s">
        <v>670</v>
      </c>
      <c r="H438">
        <v>4954857.142857143</v>
      </c>
    </row>
    <row r="439">
      <c r="A439" t="s">
        <v>72</v>
      </c>
      <c r="B439" t="s">
        <v>73</v>
      </c>
      <c r="C439" t="s">
        <v>131</v>
      </c>
      <c r="D439" t="s">
        <v>132</v>
      </c>
      <c r="E439" t="s">
        <v>671</v>
      </c>
      <c r="F439">
        <v>28.431372549019606</v>
      </c>
      <c r="G439" t="s">
        <v>671</v>
      </c>
      <c r="H439">
        <v>28.431372549019606</v>
      </c>
    </row>
    <row r="440">
      <c r="A440" t="s">
        <v>72</v>
      </c>
      <c r="B440" t="s">
        <v>73</v>
      </c>
      <c r="C440" t="s">
        <v>134</v>
      </c>
      <c r="D440" t="s">
        <v>135</v>
      </c>
      <c r="E440" t="s">
        <v>136</v>
      </c>
      <c r="F440">
        <v>8760</v>
      </c>
      <c r="G440" t="s">
        <v>136</v>
      </c>
      <c r="H440">
        <v>8760</v>
      </c>
    </row>
    <row r="441">
      <c r="A441" t="s">
        <v>72</v>
      </c>
      <c r="B441" t="s">
        <v>73</v>
      </c>
      <c r="C441" t="s">
        <v>137</v>
      </c>
      <c r="D441" t="s">
        <v>138</v>
      </c>
      <c r="E441" t="s">
        <v>139</v>
      </c>
      <c r="F441">
        <v>0.25</v>
      </c>
      <c r="G441" t="s">
        <v>139</v>
      </c>
      <c r="H441">
        <v>0.25</v>
      </c>
    </row>
    <row r="442">
      <c r="A442" t="s">
        <v>72</v>
      </c>
      <c r="B442" t="s">
        <v>73</v>
      </c>
      <c r="C442" t="s">
        <v>140</v>
      </c>
      <c r="D442" t="s">
        <v>141</v>
      </c>
      <c r="E442" t="s">
        <v>672</v>
      </c>
      <c r="F442">
        <v>2628</v>
      </c>
      <c r="G442" t="s">
        <v>672</v>
      </c>
      <c r="H442">
        <v>2628</v>
      </c>
    </row>
    <row r="443">
      <c r="A443" t="s">
        <v>72</v>
      </c>
      <c r="B443" t="s">
        <v>73</v>
      </c>
      <c r="C443" t="s">
        <v>143</v>
      </c>
      <c r="D443" t="s">
        <v>144</v>
      </c>
      <c r="E443" t="s">
        <v>145</v>
      </c>
      <c r="F443">
        <v>0.35</v>
      </c>
      <c r="G443" t="s">
        <v>145</v>
      </c>
      <c r="H443">
        <v>0.35</v>
      </c>
    </row>
    <row r="444">
      <c r="A444" t="s">
        <v>72</v>
      </c>
      <c r="B444" t="s">
        <v>73</v>
      </c>
      <c r="C444" t="s">
        <v>87</v>
      </c>
      <c r="D444" t="s">
        <v>146</v>
      </c>
      <c r="E444" t="s">
        <v>673</v>
      </c>
      <c r="F444">
        <v>32844</v>
      </c>
      <c r="G444" t="s">
        <v>674</v>
      </c>
      <c r="H444">
        <v>60995.99999999999</v>
      </c>
    </row>
    <row r="445">
      <c r="A445" t="s">
        <v>72</v>
      </c>
      <c r="B445" t="s">
        <v>73</v>
      </c>
      <c r="C445" t="s">
        <v>88</v>
      </c>
      <c r="D445" t="s">
        <v>149</v>
      </c>
      <c r="E445" t="s">
        <v>675</v>
      </c>
      <c r="F445">
        <v>933799.9999999999</v>
      </c>
      <c r="G445" t="s">
        <v>676</v>
      </c>
      <c r="H445">
        <v>1734199.9999999998</v>
      </c>
    </row>
    <row r="446">
      <c r="A446" t="s">
        <v>72</v>
      </c>
      <c r="B446" t="s">
        <v>73</v>
      </c>
      <c r="C446" t="s">
        <v>89</v>
      </c>
      <c r="D446" t="s">
        <v>152</v>
      </c>
      <c r="E446" t="s">
        <v>677</v>
      </c>
      <c r="F446">
        <v>1734200</v>
      </c>
      <c r="G446" t="s">
        <v>678</v>
      </c>
      <c r="H446">
        <v>3220657.1428571427</v>
      </c>
    </row>
    <row r="447">
      <c r="A447" t="s">
        <v>72</v>
      </c>
      <c r="B447" t="s">
        <v>73</v>
      </c>
      <c r="C447" t="s">
        <v>155</v>
      </c>
      <c r="D447" t="s">
        <v>156</v>
      </c>
      <c r="E447" t="s">
        <v>679</v>
      </c>
      <c r="F447">
        <v>12.497716894977168</v>
      </c>
      <c r="G447" t="s">
        <v>680</v>
      </c>
      <c r="H447">
        <v>23.210045662100455</v>
      </c>
    </row>
    <row r="448">
      <c r="A448" t="s">
        <v>72</v>
      </c>
      <c r="B448" t="s">
        <v>73</v>
      </c>
      <c r="C448" t="s">
        <v>159</v>
      </c>
      <c r="D448" t="s">
        <v>160</v>
      </c>
      <c r="E448" t="s">
        <v>681</v>
      </c>
      <c r="F448">
        <v>13</v>
      </c>
      <c r="G448" t="s">
        <v>682</v>
      </c>
      <c r="H448">
        <v>24</v>
      </c>
    </row>
    <row r="449">
      <c r="A449" t="s">
        <v>72</v>
      </c>
      <c r="B449" t="s">
        <v>73</v>
      </c>
      <c r="C449" t="s">
        <v>163</v>
      </c>
      <c r="D449" t="s">
        <v>164</v>
      </c>
      <c r="E449" t="s">
        <v>683</v>
      </c>
      <c r="F449">
        <v>2</v>
      </c>
      <c r="G449" t="s">
        <v>684</v>
      </c>
      <c r="H449">
        <v>3.4285714285714284</v>
      </c>
    </row>
    <row r="450">
      <c r="A450" t="s">
        <v>72</v>
      </c>
      <c r="B450" t="s">
        <v>73</v>
      </c>
      <c r="C450" t="s">
        <v>167</v>
      </c>
      <c r="D450" t="s">
        <v>168</v>
      </c>
      <c r="E450" t="s">
        <v>685</v>
      </c>
      <c r="F450">
        <v>2</v>
      </c>
      <c r="G450" t="s">
        <v>686</v>
      </c>
      <c r="H450">
        <v>4</v>
      </c>
    </row>
    <row r="451">
      <c r="A451" t="s">
        <v>72</v>
      </c>
      <c r="B451" t="s">
        <v>73</v>
      </c>
      <c r="C451" t="s">
        <v>171</v>
      </c>
      <c r="D451" t="s">
        <v>172</v>
      </c>
      <c r="E451" t="s">
        <v>687</v>
      </c>
      <c r="F451">
        <v>816000</v>
      </c>
      <c r="G451" t="s">
        <v>688</v>
      </c>
      <c r="H451">
        <v>1528000</v>
      </c>
    </row>
    <row r="452">
      <c r="A452" t="s">
        <v>72</v>
      </c>
      <c r="B452" t="s">
        <v>73</v>
      </c>
      <c r="C452" t="s">
        <v>95</v>
      </c>
      <c r="D452" t="s">
        <v>175</v>
      </c>
      <c r="E452" t="s">
        <v>689</v>
      </c>
      <c r="F452">
        <v>117799.99999999988</v>
      </c>
      <c r="G452" t="s">
        <v>690</v>
      </c>
      <c r="H452">
        <v>206199.99999999977</v>
      </c>
    </row>
    <row r="453">
      <c r="A453" t="s">
        <v>72</v>
      </c>
      <c r="B453" t="s">
        <v>73</v>
      </c>
      <c r="C453" t="s">
        <v>178</v>
      </c>
      <c r="D453" t="s">
        <v>179</v>
      </c>
      <c r="E453" t="s">
        <v>691</v>
      </c>
      <c r="F453">
        <v>0.873848789890769</v>
      </c>
      <c r="G453" t="s">
        <v>692</v>
      </c>
      <c r="H453">
        <v>0.8810979125821705</v>
      </c>
    </row>
    <row r="454">
      <c r="A454" t="s">
        <v>72</v>
      </c>
      <c r="B454" t="s">
        <v>73</v>
      </c>
      <c r="C454" t="s">
        <v>182</v>
      </c>
      <c r="D454" t="s">
        <v>183</v>
      </c>
      <c r="E454" t="s">
        <v>693</v>
      </c>
      <c r="F454">
        <v>0.14436274509803906</v>
      </c>
      <c r="G454" t="s">
        <v>694</v>
      </c>
      <c r="H454">
        <v>0.13494764397905745</v>
      </c>
    </row>
    <row r="455">
      <c r="A455" t="s">
        <v>72</v>
      </c>
      <c r="B455" t="s">
        <v>73</v>
      </c>
      <c r="C455" t="s">
        <v>186</v>
      </c>
      <c r="D455" t="s">
        <v>187</v>
      </c>
      <c r="E455" t="s">
        <v>695</v>
      </c>
      <c r="F455">
        <v>117.1477079796266</v>
      </c>
      <c r="G455" t="s">
        <v>696</v>
      </c>
      <c r="H455">
        <v>114.9369544131912</v>
      </c>
    </row>
    <row r="456">
      <c r="A456" t="s">
        <v>72</v>
      </c>
      <c r="B456" t="s">
        <v>73</v>
      </c>
      <c r="C456" t="s">
        <v>190</v>
      </c>
      <c r="D456" t="s">
        <v>191</v>
      </c>
      <c r="E456" t="s">
        <v>697</v>
      </c>
      <c r="F456">
        <v>2550200</v>
      </c>
      <c r="G456" t="s">
        <v>698</v>
      </c>
      <c r="H456">
        <v>4748657.142857143</v>
      </c>
    </row>
    <row r="457">
      <c r="A457" t="s">
        <v>72</v>
      </c>
      <c r="B457" t="s">
        <v>73</v>
      </c>
      <c r="C457" t="s">
        <v>98</v>
      </c>
      <c r="D457" t="s">
        <v>194</v>
      </c>
      <c r="E457" t="s">
        <v>699</v>
      </c>
      <c r="F457">
        <v>0.9558470764617691</v>
      </c>
      <c r="G457" t="s">
        <v>700</v>
      </c>
      <c r="H457">
        <v>0.9583842694037596</v>
      </c>
    </row>
    <row r="458">
      <c r="A458" t="s">
        <v>72</v>
      </c>
      <c r="B458" t="s">
        <v>73</v>
      </c>
      <c r="C458" t="s">
        <v>99</v>
      </c>
      <c r="D458" t="s">
        <v>197</v>
      </c>
      <c r="E458" t="s">
        <v>279</v>
      </c>
      <c r="F458">
        <v>1150000</v>
      </c>
      <c r="G458" t="s">
        <v>701</v>
      </c>
      <c r="H458">
        <v>1975000</v>
      </c>
    </row>
    <row r="459">
      <c r="A459" t="s">
        <v>72</v>
      </c>
      <c r="B459" t="s">
        <v>73</v>
      </c>
      <c r="C459" t="s">
        <v>101</v>
      </c>
      <c r="D459" t="s">
        <v>200</v>
      </c>
      <c r="E459" t="s">
        <v>702</v>
      </c>
      <c r="F459">
        <v>4.294117647058823</v>
      </c>
      <c r="G459" t="s">
        <v>702</v>
      </c>
      <c r="H459">
        <v>4.294117647058823</v>
      </c>
    </row>
    <row r="460">
      <c r="A460" t="s">
        <v>72</v>
      </c>
      <c r="B460" t="s">
        <v>73</v>
      </c>
      <c r="C460" t="s">
        <v>202</v>
      </c>
      <c r="D460" t="s">
        <v>203</v>
      </c>
      <c r="E460" t="s">
        <v>703</v>
      </c>
      <c r="F460">
        <v>0.9528571428571428</v>
      </c>
      <c r="G460" t="s">
        <v>704</v>
      </c>
      <c r="H460">
        <v>0.9528571428571428</v>
      </c>
    </row>
    <row r="461">
      <c r="A461" t="s">
        <v>72</v>
      </c>
      <c r="B461" t="s">
        <v>73</v>
      </c>
      <c r="C461" t="s">
        <v>206</v>
      </c>
      <c r="D461" t="s">
        <v>207</v>
      </c>
      <c r="E461" t="s">
        <v>705</v>
      </c>
      <c r="F461">
        <v>0.2914285714285714</v>
      </c>
      <c r="G461" t="s">
        <v>706</v>
      </c>
      <c r="H461">
        <v>0.29384615384615387</v>
      </c>
    </row>
    <row r="462">
      <c r="A462" t="s">
        <v>72</v>
      </c>
      <c r="B462" t="s">
        <v>73</v>
      </c>
      <c r="C462" t="s">
        <v>210</v>
      </c>
      <c r="D462" t="s">
        <v>211</v>
      </c>
      <c r="E462" t="s">
        <v>707</v>
      </c>
      <c r="F462">
        <v>0.04207142857142853</v>
      </c>
      <c r="G462" t="s">
        <v>708</v>
      </c>
      <c r="H462">
        <v>0.03965384615384611</v>
      </c>
    </row>
    <row r="463">
      <c r="A463" t="s">
        <v>72</v>
      </c>
      <c r="B463" t="s">
        <v>73</v>
      </c>
      <c r="C463" t="s">
        <v>214</v>
      </c>
    </row>
    <row r="464">
      <c r="A464" t="s">
        <v>72</v>
      </c>
      <c r="B464" t="s">
        <v>73</v>
      </c>
      <c r="C464" t="s">
        <v>215</v>
      </c>
      <c r="D464" t="s">
        <v>216</v>
      </c>
      <c r="E464" t="s">
        <v>217</v>
      </c>
      <c r="F464">
        <v>24</v>
      </c>
    </row>
    <row r="465">
      <c r="A465" t="s">
        <v>72</v>
      </c>
      <c r="B465" t="s">
        <v>73</v>
      </c>
      <c r="C465" t="s">
        <v>218</v>
      </c>
      <c r="D465" t="s">
        <v>216</v>
      </c>
      <c r="E465" t="s">
        <v>219</v>
      </c>
      <c r="F465">
        <v>365</v>
      </c>
    </row>
    <row r="466">
      <c r="A466" t="s">
        <v>72</v>
      </c>
      <c r="B466" t="s">
        <v>73</v>
      </c>
      <c r="C466" t="s">
        <v>220</v>
      </c>
      <c r="D466" t="s">
        <v>429</v>
      </c>
      <c r="E466" t="s">
        <v>709</v>
      </c>
      <c r="F466">
        <v>1.2</v>
      </c>
    </row>
    <row r="467">
      <c r="A467" t="s">
        <v>72</v>
      </c>
      <c r="B467" t="s">
        <v>73</v>
      </c>
      <c r="C467" t="s">
        <v>222</v>
      </c>
      <c r="D467" t="s">
        <v>223</v>
      </c>
      <c r="E467" t="s">
        <v>224</v>
      </c>
      <c r="F467">
        <v>52000</v>
      </c>
    </row>
    <row r="468">
      <c r="A468" t="s">
        <v>72</v>
      </c>
      <c r="B468" t="s">
        <v>73</v>
      </c>
      <c r="C468" t="s">
        <v>225</v>
      </c>
      <c r="D468" t="s">
        <v>429</v>
      </c>
      <c r="E468" t="s">
        <v>710</v>
      </c>
      <c r="F468">
        <v>70000</v>
      </c>
    </row>
    <row r="469">
      <c r="A469" t="s">
        <v>72</v>
      </c>
      <c r="B469" t="s">
        <v>73</v>
      </c>
      <c r="C469" t="s">
        <v>227</v>
      </c>
      <c r="D469" t="s">
        <v>429</v>
      </c>
      <c r="E469" t="s">
        <v>711</v>
      </c>
      <c r="F469">
        <v>6.5</v>
      </c>
    </row>
    <row r="470">
      <c r="A470" t="s">
        <v>72</v>
      </c>
      <c r="B470" t="s">
        <v>73</v>
      </c>
      <c r="C470" t="s">
        <v>229</v>
      </c>
      <c r="D470" t="s">
        <v>216</v>
      </c>
      <c r="E470" t="s">
        <v>230</v>
      </c>
      <c r="F470">
        <v>7</v>
      </c>
    </row>
    <row r="471">
      <c r="A471" t="s">
        <v>72</v>
      </c>
      <c r="B471" t="s">
        <v>73</v>
      </c>
      <c r="C471" t="s">
        <v>231</v>
      </c>
      <c r="D471" t="s">
        <v>223</v>
      </c>
      <c r="E471" t="s">
        <v>232</v>
      </c>
      <c r="F471">
        <v>175000</v>
      </c>
    </row>
    <row r="472">
      <c r="A472" t="s">
        <v>72</v>
      </c>
      <c r="B472" t="s">
        <v>73</v>
      </c>
      <c r="C472" t="s">
        <v>233</v>
      </c>
      <c r="D472" t="s">
        <v>223</v>
      </c>
      <c r="E472" t="s">
        <v>234</v>
      </c>
      <c r="F472">
        <v>75000</v>
      </c>
    </row>
    <row r="473">
      <c r="A473" t="s">
        <v>72</v>
      </c>
      <c r="B473" t="s">
        <v>73</v>
      </c>
      <c r="C473" t="s">
        <v>235</v>
      </c>
      <c r="D473" t="s">
        <v>216</v>
      </c>
      <c r="E473" t="s">
        <v>236</v>
      </c>
      <c r="F473">
        <v>0.25</v>
      </c>
    </row>
    <row r="474">
      <c r="A474" t="s">
        <v>72</v>
      </c>
      <c r="B474" t="s">
        <v>73</v>
      </c>
      <c r="C474" t="s">
        <v>237</v>
      </c>
      <c r="D474" t="s">
        <v>216</v>
      </c>
      <c r="E474" t="s">
        <v>238</v>
      </c>
      <c r="F474">
        <v>0.35</v>
      </c>
    </row>
    <row r="475">
      <c r="A475" t="s">
        <v>72</v>
      </c>
      <c r="B475" t="s">
        <v>73</v>
      </c>
      <c r="C475" t="s">
        <v>239</v>
      </c>
      <c r="D475" t="s">
        <v>216</v>
      </c>
      <c r="E475" t="s">
        <v>240</v>
      </c>
    </row>
  </sheetData>
</worksheet>
</file>

<file path=xl/worksheets/sheet4.xml><?xml version="1.0" encoding="utf-8"?>
<worksheet xmlns="http://schemas.openxmlformats.org/spreadsheetml/2006/main" xmlns:r="http://schemas.openxmlformats.org/officeDocument/2006/relationships">
  <dimension ref="A1:G148"/>
  <sheetViews>
    <sheetView workbookViewId="0">
      <pane ySplit="1" topLeftCell="A2" activePane="bottomLeft" state="frozen"/>
    </sheetView>
  </sheetViews>
  <sheetFormatPr defaultRowHeight="15"/>
  <cols>
    <col min="1" max="1" width="52" customWidth="1"/>
    <col min="2" max="2" width="21" customWidth="1"/>
    <col min="3" max="3" width="20" customWidth="1"/>
    <col min="4" max="4" width="20" customWidth="1"/>
    <col min="5" max="5" width="20" customWidth="1"/>
    <col min="6" max="6" width="20" customWidth="1"/>
    <col min="7" max="7" width="20" customWidth="1"/>
  </cols>
  <sheetData>
    <row r="1">
      <c r="A1" s="2" t="s">
        <v>0</v>
      </c>
      <c r="B1" s="2" t="s">
        <v>1</v>
      </c>
      <c r="C1" s="2" t="s">
        <v>712</v>
      </c>
      <c r="D1" s="2" t="s">
        <v>91</v>
      </c>
      <c r="E1" s="2" t="s">
        <v>93</v>
      </c>
      <c r="F1" s="2" t="s">
        <v>94</v>
      </c>
      <c r="G1" s="2" t="s">
        <v>713</v>
      </c>
    </row>
    <row r="2">
      <c r="A2" t="s">
        <v>19</v>
      </c>
      <c r="B2" t="s">
        <v>20</v>
      </c>
      <c r="C2">
        <v>3</v>
      </c>
      <c r="D2">
        <v>2</v>
      </c>
      <c r="E2">
        <v>1</v>
      </c>
      <c r="F2" s="3">
        <v>204000</v>
      </c>
      <c r="G2" s="4">
        <v>0.3067669172932331</v>
      </c>
    </row>
    <row r="3">
      <c r="A3" t="s">
        <v>19</v>
      </c>
      <c r="B3" t="s">
        <v>20</v>
      </c>
      <c r="C3">
        <v>5</v>
      </c>
      <c r="D3">
        <v>2</v>
      </c>
      <c r="E3">
        <v>1</v>
      </c>
      <c r="F3" s="3">
        <v>204000</v>
      </c>
      <c r="G3" s="4">
        <v>0.3067669172932331</v>
      </c>
    </row>
    <row r="4">
      <c r="A4" t="s">
        <v>19</v>
      </c>
      <c r="B4" t="s">
        <v>20</v>
      </c>
      <c r="C4">
        <v>7</v>
      </c>
      <c r="D4">
        <v>2</v>
      </c>
      <c r="E4">
        <v>1</v>
      </c>
      <c r="F4" s="3">
        <v>204000</v>
      </c>
      <c r="G4" s="4">
        <v>0.3067669172932331</v>
      </c>
    </row>
    <row r="5">
      <c r="A5" t="s">
        <v>19</v>
      </c>
      <c r="B5" t="s">
        <v>20</v>
      </c>
      <c r="C5">
        <v>9</v>
      </c>
      <c r="D5">
        <v>2</v>
      </c>
      <c r="E5">
        <v>1</v>
      </c>
      <c r="F5" s="3">
        <v>204000</v>
      </c>
      <c r="G5" s="4">
        <v>0.3067669172932331</v>
      </c>
    </row>
    <row r="6">
      <c r="A6" t="s">
        <v>26</v>
      </c>
      <c r="B6" t="s">
        <v>27</v>
      </c>
      <c r="C6">
        <v>3</v>
      </c>
      <c r="D6">
        <v>13</v>
      </c>
      <c r="E6">
        <v>5</v>
      </c>
      <c r="F6" s="3">
        <v>1176000</v>
      </c>
      <c r="G6" s="4">
        <v>0.7</v>
      </c>
    </row>
    <row r="7">
      <c r="A7" t="s">
        <v>26</v>
      </c>
      <c r="B7" t="s">
        <v>27</v>
      </c>
      <c r="C7">
        <v>5</v>
      </c>
      <c r="D7">
        <v>13</v>
      </c>
      <c r="E7">
        <v>3</v>
      </c>
      <c r="F7" s="3">
        <v>976000</v>
      </c>
      <c r="G7" s="4">
        <v>0.580952380952381</v>
      </c>
    </row>
    <row r="8">
      <c r="A8" t="s">
        <v>26</v>
      </c>
      <c r="B8" t="s">
        <v>27</v>
      </c>
      <c r="C8">
        <v>7</v>
      </c>
      <c r="D8">
        <v>13</v>
      </c>
      <c r="E8">
        <v>2</v>
      </c>
      <c r="F8" s="3">
        <v>876000</v>
      </c>
      <c r="G8" s="4">
        <v>0.5214285714285715</v>
      </c>
    </row>
    <row r="9">
      <c r="A9" t="s">
        <v>26</v>
      </c>
      <c r="B9" t="s">
        <v>27</v>
      </c>
      <c r="C9">
        <v>9</v>
      </c>
      <c r="D9">
        <v>13</v>
      </c>
      <c r="E9">
        <v>2</v>
      </c>
      <c r="F9" s="3">
        <v>876000</v>
      </c>
      <c r="G9" s="4">
        <v>0.5214285714285715</v>
      </c>
    </row>
    <row r="10">
      <c r="A10" t="s">
        <v>32</v>
      </c>
      <c r="B10" t="s">
        <v>33</v>
      </c>
      <c r="C10">
        <v>3</v>
      </c>
      <c r="D10">
        <v>56</v>
      </c>
      <c r="E10">
        <v>19</v>
      </c>
      <c r="F10" s="3">
        <v>4812000</v>
      </c>
      <c r="G10" s="4">
        <v>0.6772695285010556</v>
      </c>
    </row>
    <row r="11">
      <c r="A11" t="s">
        <v>32</v>
      </c>
      <c r="B11" t="s">
        <v>33</v>
      </c>
      <c r="C11">
        <v>5</v>
      </c>
      <c r="D11">
        <v>56</v>
      </c>
      <c r="E11">
        <v>12</v>
      </c>
      <c r="F11" s="3">
        <v>4112000</v>
      </c>
      <c r="G11" s="4">
        <v>0.5787473610133709</v>
      </c>
    </row>
    <row r="12">
      <c r="A12" t="s">
        <v>32</v>
      </c>
      <c r="B12" t="s">
        <v>33</v>
      </c>
      <c r="C12">
        <v>7</v>
      </c>
      <c r="D12">
        <v>56</v>
      </c>
      <c r="E12">
        <v>8</v>
      </c>
      <c r="F12" s="3">
        <v>3712000</v>
      </c>
      <c r="G12" s="4">
        <v>0.5224489795918368</v>
      </c>
    </row>
    <row r="13">
      <c r="A13" t="s">
        <v>32</v>
      </c>
      <c r="B13" t="s">
        <v>33</v>
      </c>
      <c r="C13">
        <v>9</v>
      </c>
      <c r="D13">
        <v>56</v>
      </c>
      <c r="E13">
        <v>7</v>
      </c>
      <c r="F13" s="3">
        <v>3612000</v>
      </c>
      <c r="G13" s="4">
        <v>0.5083743842364532</v>
      </c>
    </row>
    <row r="14">
      <c r="A14" t="s">
        <v>36</v>
      </c>
      <c r="B14" t="s">
        <v>37</v>
      </c>
      <c r="C14">
        <v>3</v>
      </c>
      <c r="D14">
        <v>17</v>
      </c>
      <c r="E14">
        <v>6</v>
      </c>
      <c r="F14" s="3">
        <v>1484000</v>
      </c>
      <c r="G14" s="4">
        <v>0.6910039113428944</v>
      </c>
    </row>
    <row r="15">
      <c r="A15" t="s">
        <v>36</v>
      </c>
      <c r="B15" t="s">
        <v>37</v>
      </c>
      <c r="C15">
        <v>5</v>
      </c>
      <c r="D15">
        <v>17</v>
      </c>
      <c r="E15">
        <v>4</v>
      </c>
      <c r="F15" s="3">
        <v>1284000</v>
      </c>
      <c r="G15" s="4">
        <v>0.5978766995716148</v>
      </c>
    </row>
    <row r="16">
      <c r="A16" t="s">
        <v>36</v>
      </c>
      <c r="B16" t="s">
        <v>37</v>
      </c>
      <c r="C16">
        <v>7</v>
      </c>
      <c r="D16">
        <v>17</v>
      </c>
      <c r="E16">
        <v>3</v>
      </c>
      <c r="F16" s="3">
        <v>1184000</v>
      </c>
      <c r="G16" s="4">
        <v>0.551313093685975</v>
      </c>
    </row>
    <row r="17">
      <c r="A17" t="s">
        <v>36</v>
      </c>
      <c r="B17" t="s">
        <v>37</v>
      </c>
      <c r="C17">
        <v>9</v>
      </c>
      <c r="D17">
        <v>17</v>
      </c>
      <c r="E17">
        <v>2</v>
      </c>
      <c r="F17" s="3">
        <v>1084000</v>
      </c>
      <c r="G17" s="4">
        <v>0.5047494878003352</v>
      </c>
    </row>
    <row r="18">
      <c r="A18" t="s">
        <v>39</v>
      </c>
      <c r="B18" t="s">
        <v>40</v>
      </c>
      <c r="C18">
        <v>3</v>
      </c>
      <c r="D18">
        <v>36</v>
      </c>
      <c r="E18">
        <v>12</v>
      </c>
      <c r="F18" s="3">
        <v>3072000</v>
      </c>
      <c r="G18" s="4">
        <v>0.9488803088803088</v>
      </c>
    </row>
    <row r="19">
      <c r="A19" t="s">
        <v>39</v>
      </c>
      <c r="B19" t="s">
        <v>40</v>
      </c>
      <c r="C19">
        <v>5</v>
      </c>
      <c r="D19">
        <v>36</v>
      </c>
      <c r="E19">
        <v>8</v>
      </c>
      <c r="F19" s="3">
        <v>2672000</v>
      </c>
      <c r="G19" s="4">
        <v>0.8253281853281853</v>
      </c>
    </row>
    <row r="20">
      <c r="A20" t="s">
        <v>39</v>
      </c>
      <c r="B20" t="s">
        <v>40</v>
      </c>
      <c r="C20">
        <v>7</v>
      </c>
      <c r="D20">
        <v>36</v>
      </c>
      <c r="E20">
        <v>6</v>
      </c>
      <c r="F20" s="3">
        <v>2472000</v>
      </c>
      <c r="G20" s="4">
        <v>0.7635521235521235</v>
      </c>
    </row>
    <row r="21">
      <c r="A21" t="s">
        <v>39</v>
      </c>
      <c r="B21" t="s">
        <v>40</v>
      </c>
      <c r="C21">
        <v>9</v>
      </c>
      <c r="D21">
        <v>36</v>
      </c>
      <c r="E21">
        <v>4</v>
      </c>
      <c r="F21" s="3">
        <v>2272000</v>
      </c>
      <c r="G21" s="4">
        <v>0.7017760617760618</v>
      </c>
    </row>
    <row r="22">
      <c r="A22" t="s">
        <v>44</v>
      </c>
      <c r="B22" t="s">
        <v>45</v>
      </c>
      <c r="C22">
        <v>3</v>
      </c>
      <c r="D22">
        <v>7</v>
      </c>
      <c r="E22">
        <v>3</v>
      </c>
      <c r="F22" s="3">
        <v>664000</v>
      </c>
      <c r="G22" s="4">
        <v>0.7498588368153586</v>
      </c>
    </row>
    <row r="23">
      <c r="A23" t="s">
        <v>44</v>
      </c>
      <c r="B23" t="s">
        <v>45</v>
      </c>
      <c r="C23">
        <v>5</v>
      </c>
      <c r="D23">
        <v>7</v>
      </c>
      <c r="E23">
        <v>2</v>
      </c>
      <c r="F23" s="3">
        <v>564000</v>
      </c>
      <c r="G23" s="4">
        <v>0.6369282891022021</v>
      </c>
    </row>
    <row r="24">
      <c r="A24" t="s">
        <v>44</v>
      </c>
      <c r="B24" t="s">
        <v>45</v>
      </c>
      <c r="C24">
        <v>7</v>
      </c>
      <c r="D24">
        <v>7</v>
      </c>
      <c r="E24">
        <v>1</v>
      </c>
      <c r="F24" s="3">
        <v>464000</v>
      </c>
      <c r="G24" s="4">
        <v>0.5239977413890458</v>
      </c>
    </row>
    <row r="25">
      <c r="A25" t="s">
        <v>44</v>
      </c>
      <c r="B25" t="s">
        <v>45</v>
      </c>
      <c r="C25">
        <v>9</v>
      </c>
      <c r="D25">
        <v>7</v>
      </c>
      <c r="E25">
        <v>1</v>
      </c>
      <c r="F25" s="3">
        <v>464000</v>
      </c>
      <c r="G25" s="4">
        <v>0.5239977413890458</v>
      </c>
    </row>
    <row r="26">
      <c r="A26" t="s">
        <v>49</v>
      </c>
      <c r="B26" t="s">
        <v>50</v>
      </c>
      <c r="C26">
        <v>3</v>
      </c>
      <c r="D26">
        <v>6</v>
      </c>
      <c r="E26">
        <v>2</v>
      </c>
      <c r="F26" s="3">
        <v>512000</v>
      </c>
      <c r="G26" s="4">
        <v>0.8163265306122449</v>
      </c>
    </row>
    <row r="27">
      <c r="A27" t="s">
        <v>49</v>
      </c>
      <c r="B27" t="s">
        <v>50</v>
      </c>
      <c r="C27">
        <v>5</v>
      </c>
      <c r="D27">
        <v>6</v>
      </c>
      <c r="E27">
        <v>2</v>
      </c>
      <c r="F27" s="3">
        <v>512000</v>
      </c>
      <c r="G27" s="4">
        <v>0.8163265306122449</v>
      </c>
    </row>
    <row r="28">
      <c r="A28" t="s">
        <v>49</v>
      </c>
      <c r="B28" t="s">
        <v>50</v>
      </c>
      <c r="C28">
        <v>7</v>
      </c>
      <c r="D28">
        <v>6</v>
      </c>
      <c r="E28">
        <v>1</v>
      </c>
      <c r="F28" s="3">
        <v>412000</v>
      </c>
      <c r="G28" s="4">
        <v>0.6568877551020408</v>
      </c>
    </row>
    <row r="29">
      <c r="A29" t="s">
        <v>49</v>
      </c>
      <c r="B29" t="s">
        <v>50</v>
      </c>
      <c r="C29">
        <v>9</v>
      </c>
      <c r="D29">
        <v>6</v>
      </c>
      <c r="E29">
        <v>1</v>
      </c>
      <c r="F29" s="3">
        <v>412000</v>
      </c>
      <c r="G29" s="4">
        <v>0.6568877551020408</v>
      </c>
    </row>
    <row r="30">
      <c r="A30" t="s">
        <v>53</v>
      </c>
      <c r="B30" t="s">
        <v>54</v>
      </c>
      <c r="F30" s="3"/>
      <c r="G30" s="4"/>
    </row>
    <row r="31">
      <c r="A31" t="s">
        <v>58</v>
      </c>
      <c r="B31" t="s">
        <v>59</v>
      </c>
      <c r="C31">
        <v>3</v>
      </c>
      <c r="D31">
        <v>53</v>
      </c>
      <c r="E31">
        <v>18</v>
      </c>
      <c r="F31" s="3">
        <v>4340000</v>
      </c>
      <c r="G31" s="4">
        <v>1.595881595881596</v>
      </c>
    </row>
    <row r="32">
      <c r="A32" t="s">
        <v>58</v>
      </c>
      <c r="B32" t="s">
        <v>59</v>
      </c>
      <c r="C32">
        <v>5</v>
      </c>
      <c r="D32">
        <v>53</v>
      </c>
      <c r="E32">
        <v>11</v>
      </c>
      <c r="F32" s="3">
        <v>3724000</v>
      </c>
      <c r="G32" s="4">
        <v>1.3693693693693694</v>
      </c>
    </row>
    <row r="33">
      <c r="A33" t="s">
        <v>58</v>
      </c>
      <c r="B33" t="s">
        <v>59</v>
      </c>
      <c r="C33">
        <v>7</v>
      </c>
      <c r="D33">
        <v>53</v>
      </c>
      <c r="E33">
        <v>8</v>
      </c>
      <c r="F33" s="3">
        <v>3460000</v>
      </c>
      <c r="G33" s="4">
        <v>1.2722927008641294</v>
      </c>
    </row>
    <row r="34">
      <c r="A34" t="s">
        <v>58</v>
      </c>
      <c r="B34" t="s">
        <v>59</v>
      </c>
      <c r="C34">
        <v>9</v>
      </c>
      <c r="D34">
        <v>53</v>
      </c>
      <c r="E34">
        <v>6</v>
      </c>
      <c r="F34" s="3">
        <v>3284000</v>
      </c>
      <c r="G34" s="4">
        <v>1.2075749218606362</v>
      </c>
    </row>
    <row r="35">
      <c r="A35" t="s">
        <v>64</v>
      </c>
      <c r="B35" t="s">
        <v>65</v>
      </c>
      <c r="C35">
        <v>3</v>
      </c>
      <c r="D35">
        <v>12</v>
      </c>
      <c r="E35">
        <v>4</v>
      </c>
      <c r="F35" s="3">
        <v>920000</v>
      </c>
      <c r="G35" s="4">
        <v>1.24695039306045</v>
      </c>
    </row>
    <row r="36">
      <c r="A36" t="s">
        <v>64</v>
      </c>
      <c r="B36" t="s">
        <v>65</v>
      </c>
      <c r="C36">
        <v>5</v>
      </c>
      <c r="D36">
        <v>12</v>
      </c>
      <c r="E36">
        <v>3</v>
      </c>
      <c r="F36" s="3">
        <v>846000</v>
      </c>
      <c r="G36" s="4">
        <v>1.1466522092708051</v>
      </c>
    </row>
    <row r="37">
      <c r="A37" t="s">
        <v>64</v>
      </c>
      <c r="B37" t="s">
        <v>65</v>
      </c>
      <c r="C37">
        <v>7</v>
      </c>
      <c r="D37">
        <v>12</v>
      </c>
      <c r="E37">
        <v>2</v>
      </c>
      <c r="F37" s="3">
        <v>772000</v>
      </c>
      <c r="G37" s="4">
        <v>1.0463540254811603</v>
      </c>
    </row>
    <row r="38">
      <c r="A38" t="s">
        <v>64</v>
      </c>
      <c r="B38" t="s">
        <v>65</v>
      </c>
      <c r="C38">
        <v>9</v>
      </c>
      <c r="D38">
        <v>12</v>
      </c>
      <c r="E38">
        <v>2</v>
      </c>
      <c r="F38" s="3">
        <v>772000</v>
      </c>
      <c r="G38" s="4">
        <v>1.0463540254811603</v>
      </c>
    </row>
    <row r="39">
      <c r="A39" t="s">
        <v>68</v>
      </c>
      <c r="B39" t="s">
        <v>69</v>
      </c>
      <c r="C39">
        <v>3</v>
      </c>
      <c r="D39">
        <v>28</v>
      </c>
      <c r="E39">
        <v>10</v>
      </c>
      <c r="F39" s="3">
        <v>2186000</v>
      </c>
      <c r="G39" s="4">
        <v>1.5057170409147265</v>
      </c>
    </row>
    <row r="40">
      <c r="A40" t="s">
        <v>68</v>
      </c>
      <c r="B40" t="s">
        <v>69</v>
      </c>
      <c r="C40">
        <v>5</v>
      </c>
      <c r="D40">
        <v>28</v>
      </c>
      <c r="E40">
        <v>6</v>
      </c>
      <c r="F40" s="3">
        <v>1894000</v>
      </c>
      <c r="G40" s="4">
        <v>1.3045874087339855</v>
      </c>
    </row>
    <row r="41">
      <c r="A41" t="s">
        <v>68</v>
      </c>
      <c r="B41" t="s">
        <v>69</v>
      </c>
      <c r="C41">
        <v>7</v>
      </c>
      <c r="D41">
        <v>28</v>
      </c>
      <c r="E41">
        <v>4</v>
      </c>
      <c r="F41" s="3">
        <v>1748000</v>
      </c>
      <c r="G41" s="4">
        <v>1.2040225926436148</v>
      </c>
    </row>
    <row r="42">
      <c r="A42" t="s">
        <v>68</v>
      </c>
      <c r="B42" t="s">
        <v>69</v>
      </c>
      <c r="C42">
        <v>9</v>
      </c>
      <c r="D42">
        <v>28</v>
      </c>
      <c r="E42">
        <v>4</v>
      </c>
      <c r="F42" s="3">
        <v>1748000</v>
      </c>
      <c r="G42" s="4">
        <v>1.2040225926436148</v>
      </c>
    </row>
    <row r="43">
      <c r="A43" t="s">
        <v>72</v>
      </c>
      <c r="B43" t="s">
        <v>73</v>
      </c>
      <c r="C43">
        <v>3</v>
      </c>
      <c r="D43">
        <v>13</v>
      </c>
      <c r="E43">
        <v>5</v>
      </c>
      <c r="F43" s="3">
        <v>1026000</v>
      </c>
      <c r="G43" s="4">
        <v>1.098736346112658</v>
      </c>
    </row>
    <row r="44">
      <c r="A44" t="s">
        <v>72</v>
      </c>
      <c r="B44" t="s">
        <v>73</v>
      </c>
      <c r="C44">
        <v>5</v>
      </c>
      <c r="D44">
        <v>13</v>
      </c>
      <c r="E44">
        <v>3</v>
      </c>
      <c r="F44" s="3">
        <v>886000</v>
      </c>
      <c r="G44" s="4">
        <v>0.9488113086313987</v>
      </c>
    </row>
    <row r="45">
      <c r="A45" t="s">
        <v>72</v>
      </c>
      <c r="B45" t="s">
        <v>73</v>
      </c>
      <c r="C45">
        <v>7</v>
      </c>
      <c r="D45">
        <v>13</v>
      </c>
      <c r="E45">
        <v>2</v>
      </c>
      <c r="F45" s="3">
        <v>816000</v>
      </c>
      <c r="G45" s="4">
        <v>0.873848789890769</v>
      </c>
    </row>
    <row r="46">
      <c r="A46" t="s">
        <v>72</v>
      </c>
      <c r="B46" t="s">
        <v>73</v>
      </c>
      <c r="C46">
        <v>9</v>
      </c>
      <c r="D46">
        <v>13</v>
      </c>
      <c r="E46">
        <v>2</v>
      </c>
      <c r="F46" s="3">
        <v>816000</v>
      </c>
      <c r="G46" s="4">
        <v>0.873848789890769</v>
      </c>
    </row>
    <row r="47">
      <c r="F47" s="3"/>
      <c r="G47" s="4"/>
    </row>
    <row r="48">
      <c r="A48" t="s">
        <v>714</v>
      </c>
      <c r="F48" s="3"/>
      <c r="G48" s="4"/>
    </row>
    <row r="49">
      <c r="A49" t="s">
        <v>715</v>
      </c>
      <c r="F49" s="3"/>
      <c r="G49" s="4"/>
    </row>
    <row r="50">
      <c r="F50" s="3"/>
      <c r="G50" s="4"/>
    </row>
    <row r="51">
      <c r="A51" t="s">
        <v>716</v>
      </c>
      <c r="F51" s="3"/>
      <c r="G51" s="4"/>
    </row>
    <row r="52">
      <c r="A52" t="s">
        <v>717</v>
      </c>
      <c r="B52">
        <v>0.25</v>
      </c>
      <c r="C52">
        <v>0.3</v>
      </c>
      <c r="D52">
        <v>0.35</v>
      </c>
      <c r="E52">
        <v>0.4</v>
      </c>
      <c r="F52" s="3">
        <v>0.45</v>
      </c>
      <c r="G52" s="4"/>
    </row>
    <row r="53">
      <c r="A53">
        <v>0.15</v>
      </c>
      <c r="B53">
        <v>14.391143911439116</v>
      </c>
      <c r="C53">
        <v>15.286624203821656</v>
      </c>
      <c r="D53">
        <v>11.735941320293398</v>
      </c>
      <c r="E53">
        <v>12.610619469026549</v>
      </c>
      <c r="F53" s="3">
        <v>10.420475319926874</v>
      </c>
      <c r="G53" s="4"/>
    </row>
    <row r="54">
      <c r="A54">
        <v>0.2</v>
      </c>
      <c r="B54">
        <v>14.391143911439116</v>
      </c>
      <c r="C54">
        <v>10.655737704918034</v>
      </c>
      <c r="D54">
        <v>11.735941320293398</v>
      </c>
      <c r="E54">
        <v>9.523809523809524</v>
      </c>
      <c r="F54" s="3">
        <v>8.013355592654424</v>
      </c>
      <c r="G54" s="4"/>
    </row>
    <row r="55">
      <c r="A55">
        <v>0.25</v>
      </c>
      <c r="B55">
        <v>14.391143911439116</v>
      </c>
      <c r="C55">
        <v>10.655737704918034</v>
      </c>
      <c r="D55">
        <v>8.459869848156183</v>
      </c>
      <c r="E55">
        <v>7.014388489208633</v>
      </c>
      <c r="F55" s="3">
        <v>8.013355592654424</v>
      </c>
      <c r="G55" s="4"/>
    </row>
    <row r="56">
      <c r="A56">
        <v>0.3</v>
      </c>
      <c r="B56">
        <v>9.287925696594426</v>
      </c>
      <c r="C56">
        <v>10.655737704918034</v>
      </c>
      <c r="D56">
        <v>8.459869848156183</v>
      </c>
      <c r="E56">
        <v>7.014388489208633</v>
      </c>
      <c r="F56" s="3">
        <v>5.990783410138249</v>
      </c>
      <c r="G56" s="4"/>
    </row>
    <row r="57">
      <c r="A57">
        <v>0.35</v>
      </c>
      <c r="B57">
        <v>9.287925696594426</v>
      </c>
      <c r="C57">
        <v>7.177033492822966</v>
      </c>
      <c r="D57">
        <v>8.459869848156183</v>
      </c>
      <c r="E57">
        <v>7.014388489208633</v>
      </c>
      <c r="F57" s="3">
        <v>5.990783410138249</v>
      </c>
      <c r="G57" s="4"/>
    </row>
    <row r="58">
      <c r="A58" t="s">
        <v>718</v>
      </c>
      <c r="B58">
        <v>0.08150684931571413</v>
      </c>
      <c r="F58" s="3"/>
      <c r="G58" s="4"/>
    </row>
    <row r="59">
      <c r="F59" s="3"/>
      <c r="G59" s="4"/>
    </row>
    <row r="60">
      <c r="A60" t="s">
        <v>719</v>
      </c>
      <c r="F60" s="3"/>
      <c r="G60" s="4"/>
    </row>
    <row r="61">
      <c r="A61" t="s">
        <v>717</v>
      </c>
      <c r="B61">
        <v>0.25</v>
      </c>
      <c r="C61">
        <v>0.3</v>
      </c>
      <c r="D61">
        <v>0.35</v>
      </c>
      <c r="E61">
        <v>0.4</v>
      </c>
      <c r="F61" s="3">
        <v>0.45</v>
      </c>
      <c r="G61" s="4"/>
    </row>
    <row r="62">
      <c r="A62">
        <v>0.15</v>
      </c>
      <c r="C62">
        <v>369.2307692307693</v>
      </c>
      <c r="D62">
        <v>608.3333333333334</v>
      </c>
      <c r="E62">
        <v>205</v>
      </c>
      <c r="F62" s="3">
        <v>262.5</v>
      </c>
      <c r="G62" s="4"/>
    </row>
    <row r="63">
      <c r="A63">
        <v>0.2</v>
      </c>
      <c r="B63">
        <v>46.73913043478261</v>
      </c>
      <c r="C63">
        <v>35.679611650485434</v>
      </c>
      <c r="D63">
        <v>36.83035714285714</v>
      </c>
      <c r="E63">
        <v>36.090225563909776</v>
      </c>
      <c r="F63" s="3">
        <v>36.97183098591549</v>
      </c>
      <c r="G63" s="4"/>
    </row>
    <row r="64">
      <c r="A64">
        <v>0.25</v>
      </c>
      <c r="B64">
        <v>23.125</v>
      </c>
      <c r="C64">
        <v>21.12676056338028</v>
      </c>
      <c r="D64">
        <v>19.602272727272727</v>
      </c>
      <c r="E64">
        <v>18.571428571428573</v>
      </c>
      <c r="F64" s="3">
        <v>19.863013698630137</v>
      </c>
      <c r="G64" s="4"/>
    </row>
    <row r="65">
      <c r="A65">
        <v>0.3</v>
      </c>
      <c r="B65">
        <v>15.924657534246576</v>
      </c>
      <c r="C65">
        <v>15.416666666666666</v>
      </c>
      <c r="D65">
        <v>14.851485148514852</v>
      </c>
      <c r="E65">
        <v>14.618644067796609</v>
      </c>
      <c r="F65" s="3">
        <v>12.985865724381625</v>
      </c>
      <c r="G65" s="4"/>
    </row>
    <row r="66">
      <c r="A66">
        <v>0.35</v>
      </c>
      <c r="B66">
        <v>13.20754716981132</v>
      </c>
      <c r="C66">
        <v>11.28640776699029</v>
      </c>
      <c r="D66">
        <v>11.5625</v>
      </c>
      <c r="E66">
        <v>11.450381679389313</v>
      </c>
      <c r="F66" s="3">
        <v>10.436893203883495</v>
      </c>
      <c r="G66" s="4"/>
    </row>
    <row r="67">
      <c r="A67" t="s">
        <v>718</v>
      </c>
      <c r="B67">
        <v>0.22831050228312869</v>
      </c>
      <c r="F67" s="3"/>
      <c r="G67" s="4"/>
    </row>
    <row r="68">
      <c r="F68" s="3"/>
      <c r="G68" s="4"/>
    </row>
    <row r="69">
      <c r="A69" t="s">
        <v>720</v>
      </c>
      <c r="F69" s="3"/>
      <c r="G69" s="4"/>
    </row>
    <row r="70">
      <c r="A70" t="s">
        <v>717</v>
      </c>
      <c r="B70">
        <v>0.25</v>
      </c>
      <c r="C70">
        <v>0.3</v>
      </c>
      <c r="D70">
        <v>0.35</v>
      </c>
      <c r="E70">
        <v>0.4</v>
      </c>
      <c r="F70" s="3">
        <v>0.45</v>
      </c>
      <c r="G70" s="4"/>
    </row>
    <row r="71">
      <c r="A71">
        <v>0.15</v>
      </c>
      <c r="B71">
        <v>326.70157068062827</v>
      </c>
      <c r="C71">
        <v>224.54545454545453</v>
      </c>
      <c r="D71">
        <v>273.50157728706625</v>
      </c>
      <c r="E71">
        <v>276.40449438202245</v>
      </c>
      <c r="F71" s="3">
        <v>222.42424242424244</v>
      </c>
      <c r="G71" s="4"/>
    </row>
    <row r="72">
      <c r="A72">
        <v>0.2</v>
      </c>
      <c r="B72">
        <v>31.93220338983051</v>
      </c>
      <c r="C72">
        <v>31.694915254237287</v>
      </c>
      <c r="D72">
        <v>31.525423728813557</v>
      </c>
      <c r="E72">
        <v>31.398305084745765</v>
      </c>
      <c r="F72" s="3">
        <v>31.29943502824859</v>
      </c>
      <c r="G72" s="4"/>
    </row>
    <row r="73">
      <c r="A73">
        <v>0.25</v>
      </c>
      <c r="B73">
        <v>17.35763097949886</v>
      </c>
      <c r="C73">
        <v>17.463377023901312</v>
      </c>
      <c r="D73">
        <v>17.540928833945873</v>
      </c>
      <c r="E73">
        <v>17.096219931271477</v>
      </c>
      <c r="F73" s="3">
        <v>17.193523515805705</v>
      </c>
      <c r="G73" s="4"/>
    </row>
    <row r="74">
      <c r="A74">
        <v>0.3</v>
      </c>
      <c r="B74">
        <v>12.543153049482163</v>
      </c>
      <c r="C74">
        <v>11.869158878504672</v>
      </c>
      <c r="D74">
        <v>12.127833925157061</v>
      </c>
      <c r="E74">
        <v>12.037037037037036</v>
      </c>
      <c r="F74" s="3">
        <v>11.651090342679128</v>
      </c>
      <c r="G74" s="4"/>
    </row>
    <row r="75">
      <c r="A75">
        <v>0.35</v>
      </c>
      <c r="B75">
        <v>9.504550050556118</v>
      </c>
      <c r="C75">
        <v>9.411764705882353</v>
      </c>
      <c r="D75">
        <v>9.017751479289942</v>
      </c>
      <c r="E75">
        <v>9.200507614213198</v>
      </c>
      <c r="F75" s="3">
        <v>9.172763083849183</v>
      </c>
      <c r="G75" s="4"/>
    </row>
    <row r="76">
      <c r="A76" t="s">
        <v>718</v>
      </c>
      <c r="B76">
        <v>0.22196854388650175</v>
      </c>
      <c r="F76" s="3"/>
      <c r="G76" s="4"/>
    </row>
    <row r="77">
      <c r="F77" s="3"/>
      <c r="G77" s="4"/>
    </row>
    <row r="78">
      <c r="A78" t="s">
        <v>721</v>
      </c>
      <c r="F78" s="3"/>
      <c r="G78" s="4"/>
    </row>
    <row r="79">
      <c r="A79" t="s">
        <v>717</v>
      </c>
      <c r="B79">
        <v>0.25</v>
      </c>
      <c r="C79">
        <v>0.3</v>
      </c>
      <c r="D79">
        <v>0.35</v>
      </c>
      <c r="E79">
        <v>0.4</v>
      </c>
      <c r="F79" s="3">
        <v>0.45</v>
      </c>
      <c r="G79" s="4"/>
    </row>
    <row r="80">
      <c r="A80">
        <v>0.15</v>
      </c>
      <c r="B80">
        <v>213.82978723404256</v>
      </c>
      <c r="C80">
        <v>255.38793103448276</v>
      </c>
      <c r="D80">
        <v>298.0349344978166</v>
      </c>
      <c r="E80">
        <v>341.8141592920354</v>
      </c>
      <c r="F80" s="3">
        <v>386.7713004484305</v>
      </c>
      <c r="G80" s="4"/>
    </row>
    <row r="81">
      <c r="A81">
        <v>0.2</v>
      </c>
      <c r="B81">
        <v>34.36123348017621</v>
      </c>
      <c r="C81">
        <v>36.25198098256735</v>
      </c>
      <c r="D81">
        <v>37.79697624190065</v>
      </c>
      <c r="E81">
        <v>33.55039637599094</v>
      </c>
      <c r="F81" s="3">
        <v>34.865293185419965</v>
      </c>
      <c r="G81" s="4"/>
    </row>
    <row r="82">
      <c r="A82">
        <v>0.25</v>
      </c>
      <c r="B82">
        <v>21.147540983606557</v>
      </c>
      <c r="C82">
        <v>20.50473186119874</v>
      </c>
      <c r="D82">
        <v>20.14821676702177</v>
      </c>
      <c r="E82">
        <v>18.00450112528132</v>
      </c>
      <c r="F82" s="3">
        <v>19.602577873254564</v>
      </c>
      <c r="G82" s="4"/>
    </row>
    <row r="83">
      <c r="A83">
        <v>0.3</v>
      </c>
      <c r="B83">
        <v>13.636363636363637</v>
      </c>
      <c r="C83">
        <v>14.070680628272251</v>
      </c>
      <c r="D83">
        <v>13.129689174705252</v>
      </c>
      <c r="E83">
        <v>13.49803664921466</v>
      </c>
      <c r="F83" s="3">
        <v>12.840303115352231</v>
      </c>
      <c r="G83" s="4"/>
    </row>
    <row r="84">
      <c r="A84">
        <v>0.35</v>
      </c>
      <c r="B84">
        <v>11.778290993071593</v>
      </c>
      <c r="C84">
        <v>12.386457473162677</v>
      </c>
      <c r="D84">
        <v>10.542661000326904</v>
      </c>
      <c r="E84">
        <v>10.305664610207515</v>
      </c>
      <c r="F84" s="3">
        <v>10.789955532304473</v>
      </c>
      <c r="G84" s="4"/>
    </row>
    <row r="85">
      <c r="A85" t="s">
        <v>718</v>
      </c>
      <c r="B85">
        <v>0.23084728564196116</v>
      </c>
      <c r="F85" s="3"/>
      <c r="G85" s="4"/>
    </row>
    <row r="86">
      <c r="F86" s="3"/>
      <c r="G86" s="4"/>
    </row>
    <row r="87">
      <c r="A87" t="s">
        <v>722</v>
      </c>
      <c r="F87" s="3"/>
      <c r="G87" s="4"/>
    </row>
    <row r="88">
      <c r="A88" t="s">
        <v>717</v>
      </c>
      <c r="B88">
        <v>0.25</v>
      </c>
      <c r="C88">
        <v>0.3</v>
      </c>
      <c r="D88">
        <v>0.35</v>
      </c>
      <c r="E88">
        <v>0.4</v>
      </c>
      <c r="F88" s="3">
        <v>0.45</v>
      </c>
      <c r="G88" s="4"/>
    </row>
    <row r="89">
      <c r="A89">
        <v>0.15</v>
      </c>
      <c r="F89" s="3"/>
      <c r="G89" s="4"/>
    </row>
    <row r="90">
      <c r="A90">
        <v>0.2</v>
      </c>
      <c r="B90">
        <v>70.73509015256587</v>
      </c>
      <c r="C90">
        <v>64.79481641468682</v>
      </c>
      <c r="D90">
        <v>61.0079575596817</v>
      </c>
      <c r="E90">
        <v>58.383233532934135</v>
      </c>
      <c r="F90" s="3">
        <v>56.45684620376379</v>
      </c>
      <c r="G90" s="4"/>
    </row>
    <row r="91">
      <c r="A91">
        <v>0.25</v>
      </c>
      <c r="B91">
        <v>29.14642609299098</v>
      </c>
      <c r="C91">
        <v>25.23076923076923</v>
      </c>
      <c r="D91">
        <v>24.9667994687915</v>
      </c>
      <c r="E91">
        <v>24.766355140186917</v>
      </c>
      <c r="F91" s="3">
        <v>24.608967674661105</v>
      </c>
      <c r="G91" s="4"/>
    </row>
    <row r="92">
      <c r="A92">
        <v>0.3</v>
      </c>
      <c r="B92">
        <v>16.917841516772</v>
      </c>
      <c r="C92">
        <v>17.75147928994083</v>
      </c>
      <c r="D92">
        <v>15.911379657603222</v>
      </c>
      <c r="E92">
        <v>16.605839416058394</v>
      </c>
      <c r="F92" s="3">
        <v>16.21183463928668</v>
      </c>
      <c r="G92" s="4"/>
    </row>
    <row r="93">
      <c r="A93">
        <v>0.35</v>
      </c>
      <c r="B93">
        <v>12.657200811359028</v>
      </c>
      <c r="C93">
        <v>12.71716469770674</v>
      </c>
      <c r="D93">
        <v>12.76207839562443</v>
      </c>
      <c r="E93">
        <v>12.141393442622952</v>
      </c>
      <c r="F93" s="3">
        <v>12.230715774843642</v>
      </c>
      <c r="G93" s="4"/>
    </row>
    <row r="94">
      <c r="A94" t="s">
        <v>718</v>
      </c>
      <c r="B94">
        <v>0.2534246575342075</v>
      </c>
      <c r="F94" s="3"/>
      <c r="G94" s="4"/>
    </row>
    <row r="95">
      <c r="F95" s="3"/>
      <c r="G95" s="4"/>
    </row>
    <row r="96">
      <c r="A96" t="s">
        <v>723</v>
      </c>
      <c r="F96" s="3"/>
      <c r="G96" s="4"/>
    </row>
    <row r="97">
      <c r="A97" t="s">
        <v>717</v>
      </c>
      <c r="B97">
        <v>0.25</v>
      </c>
      <c r="C97">
        <v>0.3</v>
      </c>
      <c r="D97">
        <v>0.35</v>
      </c>
      <c r="E97">
        <v>0.4</v>
      </c>
      <c r="F97" s="3">
        <v>0.45</v>
      </c>
      <c r="G97" s="4"/>
    </row>
    <row r="98">
      <c r="A98">
        <v>0.15</v>
      </c>
      <c r="C98">
        <v>284.61538461538464</v>
      </c>
      <c r="F98" s="3">
        <v>266.6666666666667</v>
      </c>
      <c r="G98" s="4"/>
    </row>
    <row r="99">
      <c r="A99">
        <v>0.2</v>
      </c>
      <c r="B99">
        <v>122.62773722627738</v>
      </c>
      <c r="C99">
        <v>65.03496503496504</v>
      </c>
      <c r="D99">
        <v>46.89655172413793</v>
      </c>
      <c r="E99">
        <v>38.013698630136986</v>
      </c>
      <c r="F99" s="3">
        <v>60.13986013986014</v>
      </c>
      <c r="G99" s="4"/>
    </row>
    <row r="100">
      <c r="A100">
        <v>0.25</v>
      </c>
      <c r="B100">
        <v>24.220183486238533</v>
      </c>
      <c r="C100">
        <v>30.36437246963563</v>
      </c>
      <c r="D100">
        <v>26.127527216174183</v>
      </c>
      <c r="E100">
        <v>23.484848484848484</v>
      </c>
      <c r="F100" s="3">
        <v>21.67906482465462</v>
      </c>
      <c r="G100" s="4"/>
    </row>
    <row r="101">
      <c r="A101">
        <v>0.3</v>
      </c>
      <c r="B101">
        <v>24.220183486238533</v>
      </c>
      <c r="C101">
        <v>16.541353383458645</v>
      </c>
      <c r="D101">
        <v>20.080321285140563</v>
      </c>
      <c r="E101">
        <v>18.75</v>
      </c>
      <c r="F101" s="3">
        <v>17.79904306220096</v>
      </c>
      <c r="G101" s="4"/>
    </row>
    <row r="102">
      <c r="A102">
        <v>0.35</v>
      </c>
      <c r="B102">
        <v>17.56548536209553</v>
      </c>
      <c r="C102">
        <v>16.541353383458645</v>
      </c>
      <c r="D102">
        <v>12.559467174119886</v>
      </c>
      <c r="E102">
        <v>15</v>
      </c>
      <c r="F102" s="3">
        <v>14.621409921671018</v>
      </c>
      <c r="G102" s="4"/>
    </row>
    <row r="103">
      <c r="A103" t="s">
        <v>718</v>
      </c>
      <c r="B103">
        <v>0.2871385083718652</v>
      </c>
      <c r="F103" s="3"/>
      <c r="G103" s="4"/>
    </row>
    <row r="104">
      <c r="F104" s="3"/>
      <c r="G104" s="4"/>
    </row>
    <row r="105">
      <c r="A105" t="s">
        <v>724</v>
      </c>
      <c r="F105" s="3"/>
      <c r="G105" s="4"/>
    </row>
    <row r="106">
      <c r="A106" t="s">
        <v>717</v>
      </c>
      <c r="B106">
        <v>0.25</v>
      </c>
      <c r="C106">
        <v>0.3</v>
      </c>
      <c r="D106">
        <v>0.35</v>
      </c>
      <c r="E106">
        <v>0.4</v>
      </c>
      <c r="F106" s="3">
        <v>0.45</v>
      </c>
      <c r="G106" s="4"/>
    </row>
    <row r="107">
      <c r="A107">
        <v>0.15</v>
      </c>
      <c r="F107" s="3"/>
      <c r="G107" s="4"/>
    </row>
    <row r="108">
      <c r="A108">
        <v>0.2</v>
      </c>
      <c r="B108">
        <v>75</v>
      </c>
      <c r="C108">
        <v>292.96875</v>
      </c>
      <c r="D108">
        <v>132.91139240506328</v>
      </c>
      <c r="E108">
        <v>92.26190476190476</v>
      </c>
      <c r="F108" s="3">
        <v>73.69942196531791</v>
      </c>
      <c r="G108" s="4"/>
    </row>
    <row r="109">
      <c r="A109">
        <v>0.25</v>
      </c>
      <c r="B109">
        <v>40.714285714285715</v>
      </c>
      <c r="C109">
        <v>37.16216216216216</v>
      </c>
      <c r="D109">
        <v>65.10416666666667</v>
      </c>
      <c r="E109">
        <v>36.62109375</v>
      </c>
      <c r="F109" s="3">
        <v>34.65346534653465</v>
      </c>
      <c r="G109" s="4"/>
    </row>
    <row r="110">
      <c r="A110">
        <v>0.3</v>
      </c>
      <c r="B110">
        <v>40.714285714285715</v>
      </c>
      <c r="C110">
        <v>24.825783972125436</v>
      </c>
      <c r="D110">
        <v>24.70059880239521</v>
      </c>
      <c r="E110">
        <v>18.497757847533634</v>
      </c>
      <c r="F110" s="3">
        <v>25.47554347826087</v>
      </c>
      <c r="G110" s="4"/>
    </row>
    <row r="111">
      <c r="A111">
        <v>0.35</v>
      </c>
      <c r="B111">
        <v>25</v>
      </c>
      <c r="C111">
        <v>24.825783972125436</v>
      </c>
      <c r="D111">
        <v>17.857142857142858</v>
      </c>
      <c r="E111">
        <v>18.497757847533634</v>
      </c>
      <c r="F111" s="3">
        <v>14.78494623655914</v>
      </c>
      <c r="G111" s="4"/>
    </row>
    <row r="112">
      <c r="A112" t="s">
        <v>718</v>
      </c>
      <c r="B112">
        <v>0.31963470319655596</v>
      </c>
      <c r="F112" s="3"/>
      <c r="G112" s="4"/>
    </row>
    <row r="113">
      <c r="F113" s="3"/>
      <c r="G113" s="4"/>
    </row>
    <row r="114">
      <c r="A114" t="s">
        <v>725</v>
      </c>
      <c r="F114" s="3"/>
      <c r="G114" s="4"/>
    </row>
    <row r="115">
      <c r="A115" t="s">
        <v>717</v>
      </c>
      <c r="B115">
        <v>0.25</v>
      </c>
      <c r="C115">
        <v>0.3</v>
      </c>
      <c r="D115">
        <v>0.35</v>
      </c>
      <c r="E115">
        <v>0.4</v>
      </c>
      <c r="F115" s="3">
        <v>0.45</v>
      </c>
      <c r="G115" s="4"/>
    </row>
    <row r="116">
      <c r="A116">
        <v>0.15</v>
      </c>
      <c r="F116" s="3"/>
      <c r="G116" s="4"/>
    </row>
    <row r="117">
      <c r="A117">
        <v>0.2</v>
      </c>
      <c r="F117" s="3"/>
      <c r="G117" s="4"/>
    </row>
    <row r="118">
      <c r="A118">
        <v>0.25</v>
      </c>
      <c r="F118" s="3"/>
      <c r="G118" s="4"/>
    </row>
    <row r="119">
      <c r="A119">
        <v>0.3</v>
      </c>
      <c r="F119" s="3"/>
      <c r="G119" s="4"/>
    </row>
    <row r="120">
      <c r="A120">
        <v>0.35</v>
      </c>
      <c r="B120">
        <v>2514.285714285714</v>
      </c>
      <c r="D120">
        <v>918.9873417721519</v>
      </c>
      <c r="E120">
        <v>510</v>
      </c>
      <c r="F120" s="3">
        <v>674.4525547445256</v>
      </c>
      <c r="G120" s="4"/>
    </row>
    <row r="121">
      <c r="A121" t="s">
        <v>718</v>
      </c>
      <c r="B121">
        <v>0.5453767123290227</v>
      </c>
      <c r="F121" s="3"/>
      <c r="G121" s="4"/>
    </row>
    <row r="122">
      <c r="F122" s="3"/>
      <c r="G122" s="4"/>
    </row>
    <row r="123">
      <c r="A123" t="s">
        <v>726</v>
      </c>
      <c r="F123" s="3"/>
      <c r="G123" s="4"/>
    </row>
    <row r="124">
      <c r="A124" t="s">
        <v>717</v>
      </c>
      <c r="B124">
        <v>0.25</v>
      </c>
      <c r="C124">
        <v>0.3</v>
      </c>
      <c r="D124">
        <v>0.35</v>
      </c>
      <c r="E124">
        <v>0.4</v>
      </c>
      <c r="F124" s="3">
        <v>0.45</v>
      </c>
      <c r="G124" s="4"/>
    </row>
    <row r="125">
      <c r="A125">
        <v>0.15</v>
      </c>
      <c r="F125" s="3"/>
      <c r="G125" s="4"/>
    </row>
    <row r="126">
      <c r="A126">
        <v>0.2</v>
      </c>
      <c r="F126" s="3"/>
      <c r="G126" s="4"/>
    </row>
    <row r="127">
      <c r="A127">
        <v>0.25</v>
      </c>
      <c r="F127" s="3"/>
      <c r="G127" s="4"/>
    </row>
    <row r="128">
      <c r="A128">
        <v>0.3</v>
      </c>
      <c r="B128">
        <v>560</v>
      </c>
      <c r="C128">
        <v>621.951219512195</v>
      </c>
      <c r="D128">
        <v>159.02578796561605</v>
      </c>
      <c r="E128">
        <v>243.90243902439025</v>
      </c>
      <c r="F128" s="3">
        <v>272.7272727272727</v>
      </c>
      <c r="G128" s="4"/>
    </row>
    <row r="129">
      <c r="A129">
        <v>0.35</v>
      </c>
      <c r="B129">
        <v>111.9402985074627</v>
      </c>
      <c r="C129">
        <v>69.76744186046511</v>
      </c>
      <c r="D129">
        <v>83.74384236453201</v>
      </c>
      <c r="E129">
        <v>63.35616438356164</v>
      </c>
      <c r="F129" s="3">
        <v>77.61966364812419</v>
      </c>
      <c r="G129" s="4"/>
    </row>
    <row r="130">
      <c r="A130" t="s">
        <v>718</v>
      </c>
      <c r="B130">
        <v>0.5651141552514126</v>
      </c>
      <c r="F130" s="3"/>
      <c r="G130" s="4"/>
    </row>
    <row r="131">
      <c r="F131" s="3"/>
      <c r="G131" s="4"/>
    </row>
    <row r="132">
      <c r="A132" t="s">
        <v>727</v>
      </c>
      <c r="F132" s="3"/>
      <c r="G132" s="4"/>
    </row>
    <row r="133">
      <c r="A133" t="s">
        <v>717</v>
      </c>
      <c r="B133">
        <v>0.25</v>
      </c>
      <c r="C133">
        <v>0.3</v>
      </c>
      <c r="D133">
        <v>0.35</v>
      </c>
      <c r="E133">
        <v>0.4</v>
      </c>
      <c r="F133" s="3">
        <v>0.45</v>
      </c>
      <c r="G133" s="4"/>
    </row>
    <row r="134">
      <c r="A134">
        <v>0.15</v>
      </c>
      <c r="F134" s="3"/>
      <c r="G134" s="4"/>
    </row>
    <row r="135">
      <c r="A135">
        <v>0.2</v>
      </c>
      <c r="F135" s="3"/>
      <c r="G135" s="4"/>
    </row>
    <row r="136">
      <c r="A136">
        <v>0.25</v>
      </c>
      <c r="F136" s="3"/>
      <c r="G136" s="4"/>
    </row>
    <row r="137">
      <c r="A137">
        <v>0.3</v>
      </c>
      <c r="F137" s="3"/>
      <c r="G137" s="4"/>
    </row>
    <row r="138">
      <c r="A138">
        <v>0.35</v>
      </c>
      <c r="B138">
        <v>163.33333333333334</v>
      </c>
      <c r="C138">
        <v>254.3859649122807</v>
      </c>
      <c r="D138">
        <v>167.779632721202</v>
      </c>
      <c r="E138">
        <v>232.17922606924645</v>
      </c>
      <c r="F138" s="3">
        <v>122.02380952380952</v>
      </c>
      <c r="G138" s="4"/>
    </row>
    <row r="139">
      <c r="A139" t="s">
        <v>718</v>
      </c>
      <c r="B139">
        <v>0.5660197869096483</v>
      </c>
      <c r="F139" s="3"/>
      <c r="G139" s="4"/>
    </row>
    <row r="140">
      <c r="F140" s="3"/>
      <c r="G140" s="4"/>
    </row>
    <row r="141">
      <c r="A141" t="s">
        <v>728</v>
      </c>
      <c r="F141" s="3"/>
      <c r="G141" s="4"/>
    </row>
    <row r="142">
      <c r="A142" t="s">
        <v>717</v>
      </c>
      <c r="B142">
        <v>0.25</v>
      </c>
      <c r="C142">
        <v>0.3</v>
      </c>
      <c r="D142">
        <v>0.35</v>
      </c>
      <c r="E142">
        <v>0.4</v>
      </c>
      <c r="F142" s="3">
        <v>0.45</v>
      </c>
      <c r="G142" s="4"/>
    </row>
    <row r="143">
      <c r="A143">
        <v>0.15</v>
      </c>
      <c r="F143" s="3"/>
      <c r="G143" s="4"/>
    </row>
    <row r="144">
      <c r="A144">
        <v>0.2</v>
      </c>
      <c r="F144" s="3"/>
      <c r="G144" s="4"/>
    </row>
    <row r="145">
      <c r="A145">
        <v>0.25</v>
      </c>
      <c r="B145">
        <v>172.88135593220338</v>
      </c>
      <c r="C145">
        <v>135.74660633484163</v>
      </c>
      <c r="D145">
        <v>117.1477079796266</v>
      </c>
      <c r="E145">
        <v>202.07253886010363</v>
      </c>
      <c r="F145" s="3">
        <v>163.22701688555347</v>
      </c>
      <c r="G145" s="4"/>
    </row>
    <row r="146">
      <c r="A146">
        <v>0.3</v>
      </c>
      <c r="B146">
        <v>83.78378378378379</v>
      </c>
      <c r="C146">
        <v>53.014553014553016</v>
      </c>
      <c r="D146">
        <v>54.1027953110911</v>
      </c>
      <c r="E146">
        <v>42.54617414248021</v>
      </c>
      <c r="F146" s="3">
        <v>55.978674790555985</v>
      </c>
      <c r="G146" s="4"/>
    </row>
    <row r="147">
      <c r="A147">
        <v>0.35</v>
      </c>
      <c r="B147">
        <v>51.533742331288344</v>
      </c>
      <c r="C147">
        <v>38.05237315875613</v>
      </c>
      <c r="D147">
        <v>31.307550644567232</v>
      </c>
      <c r="E147">
        <v>33.78378378378378</v>
      </c>
      <c r="F147" s="3">
        <v>29.54649564819056</v>
      </c>
      <c r="G147" s="4"/>
    </row>
    <row r="148">
      <c r="A148" t="s">
        <v>718</v>
      </c>
      <c r="B148">
        <v>0.4463470319636526</v>
      </c>
      <c r="F148" s="3"/>
      <c r="G148" s="4"/>
    </row>
  </sheetData>
</worksheet>
</file>

<file path=xl/worksheets/sheet5.xml><?xml version="1.0" encoding="utf-8"?>
<worksheet xmlns="http://schemas.openxmlformats.org/spreadsheetml/2006/main" xmlns:r="http://schemas.openxmlformats.org/officeDocument/2006/relationships">
  <dimension ref="A1:A3"/>
  <sheetFormatPr defaultRowHeight="15"/>
  <cols>
    <col min="1" max="1" width="110" customWidth="1"/>
  </cols>
  <sheetData>
    <row r="1">
      <c r="A1" t="s">
        <v>729</v>
      </c>
    </row>
    <row r="2">
      <c r="A2" t="s">
        <v>730</v>
      </c>
    </row>
    <row r="3">
      <c r="A3" t="s">
        <v>731</v>
      </c>
    </row>
  </sheetData>
  <drawing r:id="rId1"/>
</worksheet>
</file>

<file path=xl/worksheets/sheet6.xml><?xml version="1.0" encoding="utf-8"?>
<worksheet xmlns="http://schemas.openxmlformats.org/spreadsheetml/2006/main" xmlns:r="http://schemas.openxmlformats.org/officeDocument/2006/relationships">
  <dimension ref="A1:E2"/>
  <sheetViews>
    <sheetView workbookViewId="0">
      <pane ySplit="1" topLeftCell="A2" activePane="bottomLeft" state="frozen"/>
    </sheetView>
  </sheetViews>
  <sheetFormatPr defaultRowHeight="15"/>
  <cols>
    <col min="1" max="1" width="11" customWidth="1"/>
    <col min="2" max="2" width="12" customWidth="1"/>
    <col min="3" max="3" width="10" customWidth="1"/>
    <col min="4" max="4" width="10" customWidth="1"/>
    <col min="5" max="5" width="32" customWidth="1"/>
  </cols>
  <sheetData>
    <row r="1">
      <c r="A1" s="2" t="s">
        <v>0</v>
      </c>
      <c r="B1" s="2" t="s">
        <v>1</v>
      </c>
      <c r="C1" s="2" t="s">
        <v>732</v>
      </c>
      <c r="D1" s="2" t="s">
        <v>733</v>
      </c>
      <c r="E1" s="2" t="s">
        <v>734</v>
      </c>
    </row>
    <row r="2">
      <c r="A2" t="s">
        <v>53</v>
      </c>
      <c r="B2" t="s">
        <v>54</v>
      </c>
      <c r="C2" t="s">
        <v>735</v>
      </c>
      <c r="D2" t="s">
        <v>736</v>
      </c>
      <c r="E2" t="s">
        <v>523</v>
      </c>
    </row>
  </sheetData>
</worksheet>
</file>

<file path=xl/worksheets/sheet7.xml><?xml version="1.0" encoding="utf-8"?>
<worksheet xmlns="http://schemas.openxmlformats.org/spreadsheetml/2006/main" xmlns:r="http://schemas.openxmlformats.org/officeDocument/2006/relationships">
  <dimension ref="A1:A83"/>
  <sheetFormatPr defaultRowHeight="15"/>
  <cols>
    <col min="1" max="1" width="104" customWidth="1"/>
  </cols>
  <sheetData>
    <row r="1">
      <c r="A1" t="s">
        <v>737</v>
      </c>
    </row>
    <row r="2">
      <c r="A2" t="s">
        <v>738</v>
      </c>
    </row>
    <row r="4">
      <c r="A4" t="s">
        <v>739</v>
      </c>
    </row>
    <row r="5">
      <c r="A5" t="s">
        <v>740</v>
      </c>
    </row>
    <row r="6">
      <c r="A6" t="s">
        <v>741</v>
      </c>
    </row>
    <row r="7">
      <c r="A7" t="s">
        <v>742</v>
      </c>
    </row>
    <row r="8">
      <c r="A8" t="s">
        <v>743</v>
      </c>
    </row>
    <row r="9">
      <c r="A9" t="s">
        <v>744</v>
      </c>
    </row>
    <row r="10">
      <c r="A10" t="s">
        <v>745</v>
      </c>
    </row>
    <row r="11">
      <c r="A11" t="s">
        <v>746</v>
      </c>
    </row>
    <row r="13">
      <c r="A13" t="s">
        <v>747</v>
      </c>
    </row>
    <row r="14">
      <c r="A14" t="s">
        <v>748</v>
      </c>
    </row>
    <row r="15">
      <c r="A15" t="s">
        <v>749</v>
      </c>
    </row>
    <row r="16">
      <c r="A16" t="s">
        <v>750</v>
      </c>
    </row>
    <row r="17">
      <c r="A17" t="s">
        <v>751</v>
      </c>
    </row>
    <row r="18">
      <c r="A18" t="s">
        <v>752</v>
      </c>
    </row>
    <row r="20">
      <c r="A20" t="s">
        <v>753</v>
      </c>
    </row>
    <row r="21">
      <c r="A21" t="s">
        <v>754</v>
      </c>
    </row>
    <row r="22">
      <c r="A22" t="s">
        <v>755</v>
      </c>
    </row>
    <row r="23">
      <c r="A23" t="s">
        <v>756</v>
      </c>
    </row>
    <row r="24">
      <c r="A24" t="s">
        <v>757</v>
      </c>
    </row>
    <row r="25">
      <c r="A25" t="s">
        <v>758</v>
      </c>
    </row>
    <row r="26">
      <c r="A26" t="s">
        <v>759</v>
      </c>
    </row>
    <row r="27">
      <c r="A27" t="s">
        <v>760</v>
      </c>
    </row>
    <row r="28">
      <c r="A28" t="s">
        <v>761</v>
      </c>
    </row>
    <row r="29">
      <c r="A29" t="s">
        <v>762</v>
      </c>
    </row>
    <row r="30">
      <c r="A30" t="s">
        <v>763</v>
      </c>
    </row>
    <row r="31">
      <c r="A31" t="s">
        <v>764</v>
      </c>
    </row>
    <row r="32">
      <c r="A32" t="s">
        <v>765</v>
      </c>
    </row>
    <row r="33">
      <c r="A33" t="s">
        <v>766</v>
      </c>
    </row>
    <row r="34">
      <c r="A34" t="s">
        <v>767</v>
      </c>
    </row>
    <row r="35">
      <c r="A35" t="s">
        <v>768</v>
      </c>
    </row>
    <row r="36">
      <c r="A36" t="s">
        <v>769</v>
      </c>
    </row>
    <row r="38">
      <c r="A38" t="s">
        <v>770</v>
      </c>
    </row>
    <row r="39">
      <c r="A39" t="s">
        <v>771</v>
      </c>
    </row>
    <row r="41">
      <c r="A41" t="s">
        <v>772</v>
      </c>
    </row>
    <row r="42">
      <c r="A42" t="s">
        <v>773</v>
      </c>
    </row>
    <row r="43">
      <c r="A43" t="s">
        <v>774</v>
      </c>
    </row>
    <row r="45">
      <c r="A45" t="s">
        <v>775</v>
      </c>
    </row>
    <row r="46">
      <c r="A46" t="s">
        <v>776</v>
      </c>
    </row>
    <row r="48">
      <c r="A48" t="s">
        <v>777</v>
      </c>
    </row>
    <row r="49">
      <c r="A49" t="s">
        <v>778</v>
      </c>
    </row>
    <row r="50">
      <c r="A50" t="s">
        <v>779</v>
      </c>
    </row>
    <row r="52">
      <c r="A52" t="s">
        <v>780</v>
      </c>
    </row>
    <row r="53">
      <c r="A53" t="s">
        <v>781</v>
      </c>
    </row>
    <row r="54">
      <c r="A54" t="s">
        <v>782</v>
      </c>
    </row>
    <row r="55">
      <c r="A55" t="s">
        <v>783</v>
      </c>
    </row>
    <row r="57">
      <c r="A57" t="s">
        <v>784</v>
      </c>
    </row>
    <row r="58">
      <c r="A58" t="s">
        <v>785</v>
      </c>
    </row>
    <row r="59">
      <c r="A59" t="s">
        <v>786</v>
      </c>
    </row>
    <row r="60">
      <c r="A60" t="s">
        <v>787</v>
      </c>
    </row>
    <row r="61">
      <c r="A61" t="s">
        <v>788</v>
      </c>
    </row>
    <row r="62">
      <c r="A62" t="s">
        <v>789</v>
      </c>
    </row>
    <row r="63">
      <c r="A63" t="s">
        <v>790</v>
      </c>
    </row>
    <row r="64">
      <c r="A64" t="s">
        <v>791</v>
      </c>
    </row>
    <row r="65">
      <c r="A65" t="s">
        <v>792</v>
      </c>
    </row>
    <row r="67">
      <c r="A67" t="s">
        <v>793</v>
      </c>
    </row>
    <row r="68">
      <c r="A68" t="s">
        <v>794</v>
      </c>
    </row>
    <row r="70">
      <c r="A70" t="s">
        <v>795</v>
      </c>
    </row>
    <row r="71">
      <c r="A71" t="s">
        <v>796</v>
      </c>
    </row>
    <row r="72">
      <c r="A72" t="s">
        <v>797</v>
      </c>
    </row>
    <row r="73">
      <c r="A73" t="s">
        <v>798</v>
      </c>
    </row>
    <row r="74">
      <c r="A74" t="s">
        <v>799</v>
      </c>
    </row>
    <row r="75">
      <c r="A75" t="s">
        <v>800</v>
      </c>
    </row>
    <row r="77">
      <c r="A77" t="s">
        <v>801</v>
      </c>
    </row>
    <row r="78">
      <c r="A78" t="s">
        <v>802</v>
      </c>
    </row>
    <row r="80">
      <c r="A80" t="s">
        <v>803</v>
      </c>
    </row>
    <row r="81">
      <c r="A81" t="s">
        <v>804</v>
      </c>
    </row>
    <row r="82">
      <c r="A82" t="s">
        <v>805</v>
      </c>
    </row>
    <row r="83">
      <c r="A83" t="s">
        <v>806</v>
      </c>
    </row>
  </sheetData>
</worksheet>
</file>

<file path=xl/worksheets/sheet8.xml><?xml version="1.0" encoding="utf-8"?>
<worksheet xmlns="http://schemas.openxmlformats.org/spreadsheetml/2006/main" xmlns:r="http://schemas.openxmlformats.org/officeDocument/2006/relationships">
  <dimension ref="A1:O13"/>
  <sheetViews>
    <sheetView workbookViewId="0">
      <pane ySplit="1" topLeftCell="A2" activePane="bottomLeft" state="frozen"/>
    </sheetView>
  </sheetViews>
  <sheetFormatPr defaultRowHeight="15"/>
  <cols>
    <col min="1" max="1" width="16" customWidth="1"/>
    <col min="2" max="2" width="20" customWidth="1"/>
    <col min="3" max="3" width="15" customWidth="1"/>
    <col min="4" max="4" width="29" customWidth="1"/>
    <col min="5" max="5" width="18" customWidth="1"/>
    <col min="6" max="6" width="28" customWidth="1"/>
    <col min="7" max="7" width="21" customWidth="1"/>
    <col min="8" max="8" width="13" customWidth="1"/>
    <col min="9" max="9" width="14" customWidth="1"/>
    <col min="10" max="10" width="15" customWidth="1"/>
    <col min="11" max="11" width="52" customWidth="1"/>
    <col min="12" max="12" width="18" customWidth="1"/>
    <col min="13" max="13" width="28" customWidth="1"/>
    <col min="14" max="14" width="21" customWidth="1"/>
    <col min="15" max="15" width="24" customWidth="1"/>
  </cols>
  <sheetData>
    <row r="1">
      <c r="A1" s="2" t="s">
        <v>0</v>
      </c>
      <c r="B1" s="2" t="s">
        <v>1</v>
      </c>
      <c r="C1" s="2" t="s">
        <v>2</v>
      </c>
      <c r="D1" s="2" t="s">
        <v>807</v>
      </c>
      <c r="E1" s="2" t="s">
        <v>808</v>
      </c>
      <c r="F1" s="2" t="s">
        <v>809</v>
      </c>
      <c r="G1" s="2" t="s">
        <v>810</v>
      </c>
      <c r="H1" s="2" t="s">
        <v>811</v>
      </c>
      <c r="I1" s="2" t="s">
        <v>812</v>
      </c>
      <c r="J1" s="2" t="s">
        <v>3</v>
      </c>
      <c r="K1" s="2" t="s">
        <v>4</v>
      </c>
      <c r="L1" s="2" t="s">
        <v>813</v>
      </c>
      <c r="M1" s="2" t="s">
        <v>814</v>
      </c>
      <c r="N1" s="2" t="s">
        <v>815</v>
      </c>
      <c r="O1" s="2" t="s">
        <v>816</v>
      </c>
    </row>
    <row r="2">
      <c r="A2" t="s">
        <v>19</v>
      </c>
      <c r="B2" t="s">
        <v>20</v>
      </c>
      <c r="C2" t="s">
        <v>21</v>
      </c>
      <c r="D2">
        <v>180000</v>
      </c>
      <c r="E2">
        <v>5</v>
      </c>
      <c r="F2">
        <v>380000</v>
      </c>
      <c r="G2">
        <v>300000</v>
      </c>
      <c r="H2">
        <v>12</v>
      </c>
      <c r="I2">
        <v>170</v>
      </c>
      <c r="J2" t="s">
        <v>22</v>
      </c>
      <c r="K2" t="s">
        <v>23</v>
      </c>
    </row>
    <row r="3">
      <c r="A3" t="s">
        <v>26</v>
      </c>
      <c r="B3" t="s">
        <v>27</v>
      </c>
      <c r="C3" t="s">
        <v>28</v>
      </c>
      <c r="D3">
        <v>2400000</v>
      </c>
      <c r="E3">
        <v>40</v>
      </c>
      <c r="F3">
        <v>120000</v>
      </c>
      <c r="G3">
        <v>4800000</v>
      </c>
      <c r="H3">
        <v>8</v>
      </c>
      <c r="I3">
        <v>250</v>
      </c>
      <c r="J3" t="s">
        <v>29</v>
      </c>
      <c r="K3" t="s">
        <v>30</v>
      </c>
    </row>
    <row r="4">
      <c r="A4" t="s">
        <v>32</v>
      </c>
      <c r="B4" t="s">
        <v>33</v>
      </c>
      <c r="C4" t="s">
        <v>28</v>
      </c>
      <c r="D4">
        <v>9200000</v>
      </c>
      <c r="E4">
        <v>140</v>
      </c>
      <c r="F4">
        <v>145000</v>
      </c>
      <c r="G4">
        <v>18000000</v>
      </c>
      <c r="H4">
        <v>10</v>
      </c>
      <c r="I4">
        <v>250</v>
      </c>
      <c r="J4" t="s">
        <v>34</v>
      </c>
      <c r="K4" t="s">
        <v>35</v>
      </c>
    </row>
    <row r="5">
      <c r="A5" t="s">
        <v>36</v>
      </c>
      <c r="B5" t="s">
        <v>37</v>
      </c>
      <c r="C5" t="s">
        <v>28</v>
      </c>
      <c r="D5">
        <v>3100000</v>
      </c>
      <c r="E5">
        <v>52</v>
      </c>
      <c r="F5">
        <v>118000</v>
      </c>
      <c r="G5">
        <v>5400000</v>
      </c>
      <c r="H5">
        <v>8</v>
      </c>
      <c r="I5">
        <v>250</v>
      </c>
      <c r="J5" t="s">
        <v>29</v>
      </c>
      <c r="K5" t="s">
        <v>38</v>
      </c>
    </row>
    <row r="6">
      <c r="A6" t="s">
        <v>39</v>
      </c>
      <c r="B6" t="s">
        <v>40</v>
      </c>
      <c r="C6" t="s">
        <v>28</v>
      </c>
      <c r="D6">
        <v>5800000</v>
      </c>
      <c r="E6">
        <v>74</v>
      </c>
      <c r="F6">
        <v>125000</v>
      </c>
      <c r="G6">
        <v>9500000</v>
      </c>
      <c r="H6">
        <v>10</v>
      </c>
      <c r="I6">
        <v>240</v>
      </c>
      <c r="J6" t="s">
        <v>41</v>
      </c>
      <c r="K6" t="s">
        <v>42</v>
      </c>
      <c r="L6">
        <v>0.2</v>
      </c>
    </row>
    <row r="7">
      <c r="A7" t="s">
        <v>44</v>
      </c>
      <c r="B7" t="s">
        <v>45</v>
      </c>
      <c r="C7" t="s">
        <v>46</v>
      </c>
      <c r="D7">
        <v>1600000</v>
      </c>
      <c r="E7">
        <v>22</v>
      </c>
      <c r="F7">
        <v>115000</v>
      </c>
      <c r="G7">
        <v>3000000</v>
      </c>
      <c r="H7">
        <v>8</v>
      </c>
      <c r="I7">
        <v>245</v>
      </c>
      <c r="J7" t="s">
        <v>29</v>
      </c>
      <c r="K7" t="s">
        <v>47</v>
      </c>
    </row>
    <row r="8">
      <c r="A8" t="s">
        <v>49</v>
      </c>
      <c r="B8" t="s">
        <v>50</v>
      </c>
      <c r="C8" t="s">
        <v>51</v>
      </c>
      <c r="D8">
        <v>950000</v>
      </c>
      <c r="E8">
        <v>16</v>
      </c>
      <c r="F8">
        <v>112000</v>
      </c>
      <c r="G8">
        <v>1700000</v>
      </c>
      <c r="H8">
        <v>8</v>
      </c>
      <c r="I8">
        <v>250</v>
      </c>
      <c r="J8" t="s">
        <v>29</v>
      </c>
      <c r="K8" t="s">
        <v>52</v>
      </c>
    </row>
    <row r="9">
      <c r="A9" t="s">
        <v>53</v>
      </c>
      <c r="B9" t="s">
        <v>54</v>
      </c>
      <c r="C9" t="s">
        <v>28</v>
      </c>
      <c r="D9">
        <v>1750000</v>
      </c>
      <c r="E9">
        <v>28</v>
      </c>
      <c r="G9">
        <v>3400000</v>
      </c>
      <c r="H9">
        <v>8</v>
      </c>
      <c r="I9">
        <v>250</v>
      </c>
      <c r="J9" t="s">
        <v>55</v>
      </c>
      <c r="K9" t="s">
        <v>56</v>
      </c>
    </row>
    <row r="10">
      <c r="A10" t="s">
        <v>58</v>
      </c>
      <c r="B10" t="s">
        <v>59</v>
      </c>
      <c r="C10" t="s">
        <v>60</v>
      </c>
      <c r="D10">
        <v>7400000</v>
      </c>
      <c r="E10">
        <v>105</v>
      </c>
      <c r="F10">
        <v>74000</v>
      </c>
      <c r="G10">
        <v>14000000</v>
      </c>
      <c r="H10">
        <v>12</v>
      </c>
      <c r="I10">
        <v>260</v>
      </c>
      <c r="J10" t="s">
        <v>61</v>
      </c>
      <c r="K10" t="s">
        <v>62</v>
      </c>
      <c r="M10">
        <v>88000</v>
      </c>
    </row>
    <row r="11">
      <c r="A11" t="s">
        <v>64</v>
      </c>
      <c r="B11" t="s">
        <v>65</v>
      </c>
      <c r="C11" t="s">
        <v>66</v>
      </c>
      <c r="D11">
        <v>2050000</v>
      </c>
      <c r="E11">
        <v>34</v>
      </c>
      <c r="F11">
        <v>62000</v>
      </c>
      <c r="G11">
        <v>4100000</v>
      </c>
      <c r="H11">
        <v>8</v>
      </c>
      <c r="I11">
        <v>260</v>
      </c>
      <c r="J11" t="s">
        <v>61</v>
      </c>
      <c r="K11" t="s">
        <v>67</v>
      </c>
      <c r="M11">
        <v>74000</v>
      </c>
    </row>
    <row r="12">
      <c r="A12" t="s">
        <v>68</v>
      </c>
      <c r="B12" t="s">
        <v>69</v>
      </c>
      <c r="C12" t="s">
        <v>70</v>
      </c>
      <c r="D12">
        <v>4300000</v>
      </c>
      <c r="E12">
        <v>68</v>
      </c>
      <c r="F12">
        <v>61000</v>
      </c>
      <c r="G12">
        <v>8400000</v>
      </c>
      <c r="H12">
        <v>10</v>
      </c>
      <c r="I12">
        <v>250</v>
      </c>
      <c r="J12" t="s">
        <v>61</v>
      </c>
      <c r="K12" t="s">
        <v>71</v>
      </c>
      <c r="M12">
        <v>73000</v>
      </c>
    </row>
    <row r="13">
      <c r="A13" t="s">
        <v>72</v>
      </c>
      <c r="B13" t="s">
        <v>73</v>
      </c>
      <c r="C13" t="s">
        <v>70</v>
      </c>
      <c r="D13">
        <v>2800000</v>
      </c>
      <c r="E13">
        <v>46</v>
      </c>
      <c r="F13">
        <v>58000</v>
      </c>
      <c r="G13">
        <v>5200000</v>
      </c>
      <c r="H13">
        <v>8</v>
      </c>
      <c r="I13">
        <v>255</v>
      </c>
      <c r="J13" t="s">
        <v>61</v>
      </c>
      <c r="K13" t="s">
        <v>74</v>
      </c>
      <c r="M13">
        <v>70000</v>
      </c>
      <c r="N13">
        <v>1.2</v>
      </c>
      <c r="O13">
        <v>6.5</v>
      </c>
    </row>
  </sheetData>
</worksheet>
</file>